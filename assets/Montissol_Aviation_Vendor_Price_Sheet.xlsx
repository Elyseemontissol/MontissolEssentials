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c72c33c1f4c4f7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Bid Summary" sheetId="1" r:id="R4745b670395645a1"/>
    <x:sheet xmlns:r="http://schemas.openxmlformats.org/officeDocument/2006/relationships" name="Flight Pricing" sheetId="2" r:id="R44c504eb3a5d44e5"/>
    <x:sheet xmlns:r="http://schemas.openxmlformats.org/officeDocument/2006/relationships" name="Fixed Costs" sheetId="3" r:id="Rf257a7e7af204b19"/>
    <x:sheet xmlns:r="http://schemas.openxmlformats.org/officeDocument/2006/relationships" name="Requirements" sheetId="4" r:id="R10b513f13b7f4661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&quot;$&quot;#,##0.00"/>
    <x:numFmt numFmtId="201" formatCode="0.00%"/>
    <x:numFmt numFmtId="202" formatCode="#,##0"/>
  </x:numFmts>
  <x:fonts count="7">
    <x:font>
      <x:sz val="11"/>
      <x:name val="Carlito"/>
    </x:font>
    <x:font>
      <x:b/>
      <x:sz val="15"/>
      <x:color rgb="FF1F2937"/>
      <x:name val="Arial"/>
    </x:font>
    <x:font>
      <x:b/>
      <x:sz val="10"/>
      <x:color rgb="FFFFFFFF"/>
      <x:name val="Arial"/>
    </x:font>
    <x:font>
      <x:b/>
      <x:sz val="11"/>
      <x:color rgb="FF1F2937"/>
      <x:name val="Arial"/>
    </x:font>
    <x:font>
      <x:sz val="10"/>
      <x:color rgb="FF1F2937"/>
      <x:name val="Arial"/>
    </x:font>
    <x:font>
      <x:b/>
      <x:sz val="10"/>
      <x:color rgb="FF1F2937"/>
      <x:name val="Arial"/>
    </x:font>
    <x:font>
      <x:i/>
      <x:sz val="10"/>
      <x:color rgb="FF1F2937"/>
      <x:name val="Arial"/>
    </x:font>
  </x:fonts>
  <x:fills count="25">
    <x:fill>
      <x:patternFill patternType="none"/>
    </x:fill>
    <x:fill>
      <x:patternFill patternType="gray125"/>
    </x:fill>
    <x:fill>
      <x:patternFill patternType="solid">
        <x:fgColor rgb="FF255A85"/>
      </x:patternFill>
    </x:fill>
    <x:fill>
      <x:patternFill patternType="solid">
        <x:fgColor rgb="FF00FF00"/>
      </x:patternFill>
    </x:fill>
    <x:fill>
      <x:patternFill patternType="solid">
        <x:fgColor rgb="FFDCEBF7"/>
      </x:patternFill>
    </x:fill>
    <x:fill>
      <x:patternFill patternType="solid">
        <x:fgColor rgb="FF00FF00"/>
      </x:patternFill>
    </x:fill>
    <x:fill>
      <x:patternFill patternType="solid">
        <x:fgColor rgb="FF00FF00"/>
      </x:patternFill>
    </x:fill>
    <x:fill>
      <x:patternFill patternType="solid">
        <x:fgColor rgb="FF00FF00"/>
      </x:patternFill>
    </x:fill>
    <x:fill>
      <x:patternFill patternType="solid">
        <x:fgColor rgb="FF255A85"/>
      </x:patternFill>
    </x:fill>
    <x:fill>
      <x:patternFill patternType="solid">
        <x:fgColor rgb="FF00FF00"/>
      </x:patternFill>
    </x:fill>
    <x:fill>
      <x:patternFill patternType="solid">
        <x:fgColor rgb="FFDCEBF7"/>
      </x:patternFill>
    </x:fill>
    <x:fill>
      <x:patternFill patternType="solid">
        <x:fgColor rgb="FFFFF2CC"/>
      </x:patternFill>
    </x:fill>
    <x:fill>
      <x:patternFill patternType="solid">
        <x:fgColor rgb="FF255A85"/>
      </x:patternFill>
    </x:fill>
    <x:fill>
      <x:patternFill patternType="solid">
        <x:fgColor rgb="FF00FF00"/>
      </x:patternFill>
    </x:fill>
    <x:fill>
      <x:patternFill patternType="solid">
        <x:fgColor rgb="FFDCEBF7"/>
      </x:patternFill>
    </x:fill>
    <x:fill>
      <x:patternFill patternType="solid">
        <x:fgColor rgb="FFFFF2CC"/>
      </x:patternFill>
    </x:fill>
    <x:fill>
      <x:patternFill patternType="solid">
        <x:fgColor rgb="FF00FF00"/>
      </x:patternFill>
    </x:fill>
    <x:fill>
      <x:patternFill patternType="solid">
        <x:fgColor rgb="FF255A85"/>
      </x:patternFill>
    </x:fill>
    <x:fill>
      <x:patternFill patternType="solid">
        <x:fgColor rgb="FFDCEBF7"/>
      </x:patternFill>
    </x:fill>
    <x:fill>
      <x:patternFill patternType="solid">
        <x:fgColor rgb="FF00FF00"/>
      </x:patternFill>
    </x:fill>
    <x:fill>
      <x:patternFill patternType="solid">
        <x:fgColor rgb="FF00FF00"/>
      </x:patternFill>
    </x:fill>
    <x:fill>
      <x:patternFill patternType="solid">
        <x:fgColor rgb="FF255A85"/>
      </x:patternFill>
    </x:fill>
    <x:fill>
      <x:patternFill patternType="solid">
        <x:fgColor rgb="FFDCEBF7"/>
      </x:patternFill>
    </x:fill>
    <x:fill>
      <x:patternFill patternType="solid">
        <x:fgColor rgb="FF00FF00"/>
      </x:patternFill>
    </x:fill>
    <x:fill>
      <x:patternFill patternType="solid">
        <x:fgColor rgb="FF00FF00"/>
      </x:patternFill>
    </x:fill>
  </x:fills>
  <x:borders count="3">
    <x:border/>
    <x:border>
      <x:left style="thin">
        <x:color rgb="FFFFFFFF"/>
      </x:left>
      <x:right style="thin">
        <x:color rgb="FFFFFFFF"/>
      </x:right>
      <x:top style="thin">
        <x:color rgb="FFFFFFFF"/>
      </x:top>
      <x:bottom style="thin">
        <x:color rgb="FFFFFFFF"/>
      </x:bottom>
    </x:border>
    <x:border>
      <x:left style="thin">
        <x:color rgb="FFB8C5D1"/>
      </x:left>
      <x:right style="thin">
        <x:color rgb="FFB8C5D1"/>
      </x:right>
      <x:top style="thin">
        <x:color rgb="FFB8C5D1"/>
      </x:top>
      <x:bottom style="thin">
        <x:color rgb="FFB8C5D1"/>
      </x:bottom>
    </x:border>
  </x:borders>
  <x:cellStyleXfs count="1">
    <x:xf numFmtId="0" fontId="0" fillId="0" borderId="0"/>
  </x:cellStyleXfs>
  <x:cellXfs count="195">
    <x:xf numFmtId="0" fontId="0" fillId="0" borderId="0" xfId="0"/>
    <x:xf numFmtId="0" fontId="1" fillId="0" borderId="0" xfId="0" applyNumberFormat="1" applyFont="1" applyFill="1" applyBorder="1"/>
    <x:xf numFmtId="0" fontId="0" fillId="2" borderId="0" xfId="0" applyNumberFormat="1" applyFont="1" applyFill="1" applyBorder="1"/>
    <x:xf numFmtId="0" fontId="2" fillId="2" borderId="0" xfId="0" applyNumberFormat="1" applyFont="1" applyFill="1" applyBorder="1"/>
    <x:xf numFmtId="0" fontId="2" fillId="2" borderId="1" xfId="0" applyNumberFormat="1" applyFont="1" applyFill="1" applyBorder="1"/>
    <x:xf numFmtId="0" fontId="2" fillId="2" borderId="1" xfId="0" applyNumberFormat="1" applyFont="1" applyFill="1" applyBorder="1" applyAlignment="1">
      <x:alignment wrapText="1"/>
    </x:xf>
    <x:xf numFmtId="0" fontId="2" fillId="2" borderId="1" xfId="0" applyNumberFormat="1" applyFont="1" applyFill="1" applyBorder="1" applyAlignment="1">
      <x:alignment horizontal="center" wrapText="1"/>
    </x:xf>
    <x:xf numFmtId="0" fontId="2" fillId="2" borderId="1" xfId="0" applyNumberFormat="1" applyFont="1" applyFill="1" applyBorder="1" applyAlignment="1">
      <x:alignment horizontal="center" vertical="center" wrapText="1"/>
    </x:xf>
    <x:xf numFmtId="0" fontId="0" fillId="3" borderId="0" xfId="0" applyNumberFormat="1" applyFont="1" applyFill="1" applyBorder="1"/>
    <x:xf numFmtId="0" fontId="0" fillId="4" borderId="0" xfId="0" applyNumberFormat="1" applyFont="1" applyFill="1" applyBorder="1"/>
    <x:xf numFmtId="200" fontId="0" fillId="4" borderId="0" xfId="0" applyNumberFormat="1" applyFont="1" applyFill="1" applyBorder="1"/>
    <x:xf numFmtId="200" fontId="0" fillId="3" borderId="0" xfId="0" applyNumberFormat="1" applyFont="1" applyFill="1" applyBorder="1"/>
    <x:xf numFmtId="201" fontId="0" fillId="3" borderId="0" xfId="0" applyNumberFormat="1" applyFont="1" applyFill="1" applyBorder="1"/>
    <x:xf numFmtId="202" fontId="0" fillId="4" borderId="0" xfId="0" applyNumberFormat="1" applyFont="1" applyFill="1" applyBorder="1"/>
    <x:xf numFmtId="0" fontId="3" fillId="0" borderId="0" xfId="0" applyNumberFormat="1" applyFont="1" applyFill="1" applyBorder="1"/>
    <x:xf numFmtId="200" fontId="3" fillId="4" borderId="0" xfId="0" applyNumberFormat="1" applyFont="1" applyFill="1" applyBorder="1"/>
    <x:xf numFmtId="0" fontId="2" fillId="2" borderId="2" xfId="0" applyNumberFormat="1" applyFont="1" applyFill="1" applyBorder="1" applyAlignment="1">
      <x:alignment horizontal="center" vertical="center" wrapText="1"/>
    </x:xf>
    <x:xf numFmtId="0" fontId="0" fillId="0" borderId="2" xfId="0" applyNumberFormat="1" applyFont="1" applyFill="1" applyBorder="1"/>
    <x:xf numFmtId="200" fontId="0" fillId="4" borderId="2" xfId="0" applyNumberFormat="1" applyFont="1" applyFill="1" applyBorder="1"/>
    <x:xf numFmtId="201" fontId="0" fillId="3" borderId="2" xfId="0" applyNumberFormat="1" applyFont="1" applyFill="1" applyBorder="1"/>
    <x:xf numFmtId="0" fontId="3" fillId="0" borderId="2" xfId="0" applyNumberFormat="1" applyFont="1" applyFill="1" applyBorder="1"/>
    <x:xf numFmtId="200" fontId="3" fillId="4" borderId="2" xfId="0" applyNumberFormat="1" applyFont="1" applyFill="1" applyBorder="1"/>
    <x:xf numFmtId="202" fontId="0" fillId="4" borderId="2" xfId="0" applyNumberFormat="1" applyFont="1" applyFill="1" applyBorder="1"/>
    <x:xf numFmtId="0" fontId="4" fillId="0" borderId="0" xfId="0" applyNumberFormat="1" applyFont="1" applyFill="1" applyBorder="1"/>
    <x:xf numFmtId="0" fontId="5" fillId="0" borderId="0" xfId="0" applyNumberFormat="1" applyFont="1" applyFill="1" applyBorder="1"/>
    <x:xf numFmtId="0" fontId="5" fillId="2" borderId="2" xfId="0" applyNumberFormat="1" applyFont="1" applyFill="1" applyBorder="1" applyAlignment="1">
      <x:alignment horizontal="center" vertical="center" wrapText="1"/>
    </x:xf>
    <x:xf numFmtId="0" fontId="4" fillId="0" borderId="2" xfId="0" applyNumberFormat="1" applyFont="1" applyFill="1" applyBorder="1"/>
    <x:xf numFmtId="200" fontId="4" fillId="4" borderId="2" xfId="0" applyNumberFormat="1" applyFont="1" applyFill="1" applyBorder="1"/>
    <x:xf numFmtId="201" fontId="4" fillId="3" borderId="2" xfId="0" applyNumberFormat="1" applyFont="1" applyFill="1" applyBorder="1"/>
    <x:xf numFmtId="0" fontId="5" fillId="0" borderId="2" xfId="0" applyNumberFormat="1" applyFont="1" applyFill="1" applyBorder="1"/>
    <x:xf numFmtId="200" fontId="5" fillId="4" borderId="2" xfId="0" applyNumberFormat="1" applyFont="1" applyFill="1" applyBorder="1"/>
    <x:xf numFmtId="202" fontId="4" fillId="4" borderId="2" xfId="0" applyNumberFormat="1" applyFont="1" applyFill="1" applyBorder="1"/>
    <x:xf numFmtId="0" fontId="2" fillId="2" borderId="0" xfId="0" applyNumberFormat="1" applyFont="1" applyFill="1" applyBorder="1" applyAlignment="1">
      <x:alignment vertical="center"/>
    </x:xf>
    <x:xf numFmtId="200" fontId="0" fillId="0" borderId="0" xfId="0" applyNumberFormat="1" applyFont="1" applyFill="1" applyBorder="1"/>
    <x:xf numFmtId="200" fontId="2" fillId="2" borderId="0" xfId="0" applyNumberFormat="1" applyFont="1" applyFill="1" applyBorder="1" applyAlignment="1">
      <x:alignment vertical="center"/>
    </x:xf>
    <x:xf numFmtId="202" fontId="0" fillId="3" borderId="0" xfId="0" applyNumberFormat="1" applyFont="1" applyFill="1" applyBorder="1"/>
    <x:xf numFmtId="202" fontId="0" fillId="3" borderId="2" xfId="0" applyNumberFormat="1" applyFont="1" applyFill="1" applyBorder="1"/>
    <x:xf numFmtId="200" fontId="0" fillId="3" borderId="2" xfId="0" applyNumberFormat="1" applyFont="1" applyFill="1" applyBorder="1"/>
    <x:xf numFmtId="200" fontId="0" fillId="0" borderId="2" xfId="0" applyNumberFormat="1" applyFont="1" applyFill="1" applyBorder="1"/>
    <x:xf numFmtId="0" fontId="2" fillId="2" borderId="2" xfId="0" applyNumberFormat="1" applyFont="1" applyFill="1" applyBorder="1" applyAlignment="1">
      <x:alignment vertical="center"/>
    </x:xf>
    <x:xf numFmtId="200" fontId="2" fillId="2" borderId="2" xfId="0" applyNumberFormat="1" applyFont="1" applyFill="1" applyBorder="1" applyAlignment="1">
      <x:alignment vertical="center"/>
    </x:xf>
    <x:xf numFmtId="202" fontId="4" fillId="3" borderId="2" xfId="0" applyNumberFormat="1" applyFont="1" applyFill="1" applyBorder="1"/>
    <x:xf numFmtId="200" fontId="4" fillId="3" borderId="2" xfId="0" applyNumberFormat="1" applyFont="1" applyFill="1" applyBorder="1"/>
    <x:xf numFmtId="200" fontId="4" fillId="0" borderId="2" xfId="0" applyNumberFormat="1" applyFont="1" applyFill="1" applyBorder="1"/>
    <x:xf numFmtId="0" fontId="5" fillId="2" borderId="2" xfId="0" applyNumberFormat="1" applyFont="1" applyFill="1" applyBorder="1" applyAlignment="1">
      <x:alignment vertical="center"/>
    </x:xf>
    <x:xf numFmtId="200" fontId="5" fillId="2" borderId="2" xfId="0" applyNumberFormat="1" applyFont="1" applyFill="1" applyBorder="1" applyAlignment="1">
      <x:alignment vertical="center"/>
    </x:xf>
    <x:xf numFmtId="200" fontId="2" fillId="2" borderId="0" xfId="0" applyNumberFormat="1" applyFont="1" applyFill="1" applyBorder="1"/>
    <x:xf numFmtId="0" fontId="2" fillId="2" borderId="2" xfId="0" applyNumberFormat="1" applyFont="1" applyFill="1" applyBorder="1"/>
    <x:xf numFmtId="200" fontId="2" fillId="2" borderId="2" xfId="0" applyNumberFormat="1" applyFont="1" applyFill="1" applyBorder="1"/>
    <x:xf numFmtId="0" fontId="5" fillId="2" borderId="2" xfId="0" applyNumberFormat="1" applyFont="1" applyFill="1" applyBorder="1"/>
    <x:xf numFmtId="200" fontId="5" fillId="2" borderId="2" xfId="0" applyNumberFormat="1" applyFont="1" applyFill="1" applyBorder="1"/>
    <x:xf numFmtId="0" fontId="0" fillId="3" borderId="2" xfId="0" applyNumberFormat="1" applyFont="1" applyFill="1" applyBorder="1"/>
    <x:xf numFmtId="0" fontId="0" fillId="0" borderId="2" xfId="0" applyNumberFormat="1" applyFont="1" applyFill="1" applyBorder="1" applyAlignment="1">
      <x:alignment wrapText="1"/>
    </x:xf>
    <x:xf numFmtId="0" fontId="0" fillId="3" borderId="2" xfId="0" applyNumberFormat="1" applyFont="1" applyFill="1" applyBorder="1" applyAlignment="1">
      <x:alignment wrapText="1"/>
    </x:xf>
    <x:xf numFmtId="0" fontId="4" fillId="0" borderId="2" xfId="0" applyNumberFormat="1" applyFont="1" applyFill="1" applyBorder="1" applyAlignment="1">
      <x:alignment wrapText="1"/>
    </x:xf>
    <x:xf numFmtId="0" fontId="4" fillId="3" borderId="2" xfId="0" applyNumberFormat="1" applyFont="1" applyFill="1" applyBorder="1" applyAlignment="1">
      <x:alignment wrapText="1"/>
    </x:xf>
    <x:xf numFmtId="200" fontId="4" fillId="5" borderId="2" xfId="0" applyNumberFormat="1" applyFont="1" applyFill="1" applyBorder="1"/>
    <x:xf numFmtId="202" fontId="4" fillId="6" borderId="2" xfId="0" applyNumberFormat="1" applyFont="1" applyFill="1" applyBorder="1"/>
    <x:xf numFmtId="200" fontId="4" fillId="6" borderId="2" xfId="0" applyNumberFormat="1" applyFont="1" applyFill="1" applyBorder="1"/>
    <x:xf numFmtId="202" fontId="4" fillId="7" borderId="2" xfId="0" applyNumberFormat="1" applyFont="1" applyFill="1" applyBorder="1"/>
    <x:xf numFmtId="200" fontId="4" fillId="7" borderId="2" xfId="0" applyNumberFormat="1" applyFont="1" applyFill="1" applyBorder="1"/>
    <x:xf numFmtId="0" fontId="0" fillId="8" borderId="0" xfId="0" applyNumberFormat="1" applyFont="1" applyFill="1" applyBorder="1"/>
    <x:xf numFmtId="0" fontId="2" fillId="8" borderId="0" xfId="0" applyNumberFormat="1" applyFont="1" applyFill="1" applyBorder="1"/>
    <x:xf numFmtId="0" fontId="2" fillId="8" borderId="1" xfId="0" applyNumberFormat="1" applyFont="1" applyFill="1" applyBorder="1"/>
    <x:xf numFmtId="0" fontId="2" fillId="8" borderId="1" xfId="0" applyNumberFormat="1" applyFont="1" applyFill="1" applyBorder="1" applyAlignment="1">
      <x:alignment wrapText="1"/>
    </x:xf>
    <x:xf numFmtId="0" fontId="2" fillId="8" borderId="1" xfId="0" applyNumberFormat="1" applyFont="1" applyFill="1" applyBorder="1" applyAlignment="1">
      <x:alignment horizontal="center" wrapText="1"/>
    </x:xf>
    <x:xf numFmtId="0" fontId="2" fillId="8" borderId="1" xfId="0" applyNumberFormat="1" applyFont="1" applyFill="1" applyBorder="1" applyAlignment="1">
      <x:alignment horizontal="center" vertical="center" wrapText="1"/>
    </x:xf>
    <x:xf numFmtId="0" fontId="0" fillId="9" borderId="0" xfId="0" applyNumberFormat="1" applyFont="1" applyFill="1" applyBorder="1"/>
    <x:xf numFmtId="0" fontId="0" fillId="10" borderId="0" xfId="0" applyNumberFormat="1" applyFont="1" applyFill="1" applyBorder="1"/>
    <x:xf numFmtId="200" fontId="0" fillId="9" borderId="0" xfId="0" applyNumberFormat="1" applyFont="1" applyFill="1" applyBorder="1"/>
    <x:xf numFmtId="202" fontId="0" fillId="9" borderId="0" xfId="0" applyNumberFormat="1" applyFont="1" applyFill="1" applyBorder="1"/>
    <x:xf numFmtId="202" fontId="0" fillId="10" borderId="0" xfId="0" applyNumberFormat="1" applyFont="1" applyFill="1" applyBorder="1"/>
    <x:xf numFmtId="200" fontId="0" fillId="10" borderId="0" xfId="0" applyNumberFormat="1" applyFont="1" applyFill="1" applyBorder="1"/>
    <x:xf numFmtId="201" fontId="0" fillId="9" borderId="0" xfId="0" applyNumberFormat="1" applyFont="1" applyFill="1" applyBorder="1"/>
    <x:xf numFmtId="200" fontId="3" fillId="10" borderId="0" xfId="0" applyNumberFormat="1" applyFont="1" applyFill="1" applyBorder="1"/>
    <x:xf numFmtId="0" fontId="0" fillId="11" borderId="0" xfId="0" applyNumberFormat="1" applyFont="1" applyFill="1" applyBorder="1"/>
    <x:xf numFmtId="200" fontId="0" fillId="11" borderId="0" xfId="0" applyNumberFormat="1" applyFont="1" applyFill="1" applyBorder="1"/>
    <x:xf numFmtId="202" fontId="0" fillId="11" borderId="0" xfId="0" applyNumberFormat="1" applyFont="1" applyFill="1" applyBorder="1"/>
    <x:xf numFmtId="0" fontId="6" fillId="0" borderId="0" xfId="0" applyNumberFormat="1" applyFont="1" applyFill="1" applyBorder="1"/>
    <x:xf numFmtId="0" fontId="2" fillId="8" borderId="2" xfId="0" applyNumberFormat="1" applyFont="1" applyFill="1" applyBorder="1" applyAlignment="1">
      <x:alignment horizontal="center" vertical="center" wrapText="1"/>
    </x:xf>
    <x:xf numFmtId="200" fontId="0" fillId="9" borderId="2" xfId="0" applyNumberFormat="1" applyFont="1" applyFill="1" applyBorder="1"/>
    <x:xf numFmtId="202" fontId="0" fillId="9" borderId="2" xfId="0" applyNumberFormat="1" applyFont="1" applyFill="1" applyBorder="1"/>
    <x:xf numFmtId="202" fontId="0" fillId="10" borderId="2" xfId="0" applyNumberFormat="1" applyFont="1" applyFill="1" applyBorder="1"/>
    <x:xf numFmtId="200" fontId="0" fillId="10" borderId="2" xfId="0" applyNumberFormat="1" applyFont="1" applyFill="1" applyBorder="1"/>
    <x:xf numFmtId="201" fontId="0" fillId="9" borderId="2" xfId="0" applyNumberFormat="1" applyFont="1" applyFill="1" applyBorder="1"/>
    <x:xf numFmtId="200" fontId="3" fillId="10" borderId="2" xfId="0" applyNumberFormat="1" applyFont="1" applyFill="1" applyBorder="1"/>
    <x:xf numFmtId="200" fontId="0" fillId="11" borderId="2" xfId="0" applyNumberFormat="1" applyFont="1" applyFill="1" applyBorder="1"/>
    <x:xf numFmtId="202" fontId="0" fillId="11" borderId="2" xfId="0" applyNumberFormat="1" applyFont="1" applyFill="1" applyBorder="1"/>
    <x:xf numFmtId="0" fontId="5" fillId="8" borderId="2" xfId="0" applyNumberFormat="1" applyFont="1" applyFill="1" applyBorder="1" applyAlignment="1">
      <x:alignment horizontal="center" vertical="center" wrapText="1"/>
    </x:xf>
    <x:xf numFmtId="200" fontId="4" fillId="9" borderId="2" xfId="0" applyNumberFormat="1" applyFont="1" applyFill="1" applyBorder="1"/>
    <x:xf numFmtId="202" fontId="4" fillId="9" borderId="2" xfId="0" applyNumberFormat="1" applyFont="1" applyFill="1" applyBorder="1"/>
    <x:xf numFmtId="200" fontId="4" fillId="11" borderId="2" xfId="0" applyNumberFormat="1" applyFont="1" applyFill="1" applyBorder="1"/>
    <x:xf numFmtId="202" fontId="4" fillId="11" borderId="2" xfId="0" applyNumberFormat="1" applyFont="1" applyFill="1" applyBorder="1"/>
    <x:xf numFmtId="202" fontId="4" fillId="10" borderId="2" xfId="0" applyNumberFormat="1" applyFont="1" applyFill="1" applyBorder="1"/>
    <x:xf numFmtId="200" fontId="4" fillId="10" borderId="2" xfId="0" applyNumberFormat="1" applyFont="1" applyFill="1" applyBorder="1"/>
    <x:xf numFmtId="201" fontId="4" fillId="9" borderId="2" xfId="0" applyNumberFormat="1" applyFont="1" applyFill="1" applyBorder="1"/>
    <x:xf numFmtId="200" fontId="5" fillId="10" borderId="2" xfId="0" applyNumberFormat="1" applyFont="1" applyFill="1" applyBorder="1"/>
    <x:xf numFmtId="202" fontId="0" fillId="0" borderId="0" xfId="0" applyNumberFormat="1" applyFont="1" applyFill="1" applyBorder="1"/>
    <x:xf numFmtId="202" fontId="2" fillId="8" borderId="0" xfId="0" applyNumberFormat="1" applyFont="1" applyFill="1" applyBorder="1"/>
    <x:xf numFmtId="200" fontId="2" fillId="8" borderId="0" xfId="0" applyNumberFormat="1" applyFont="1" applyFill="1" applyBorder="1"/>
    <x:xf numFmtId="202" fontId="0" fillId="0" borderId="2" xfId="0" applyNumberFormat="1" applyFont="1" applyFill="1" applyBorder="1"/>
    <x:xf numFmtId="0" fontId="2" fillId="8" borderId="2" xfId="0" applyNumberFormat="1" applyFont="1" applyFill="1" applyBorder="1"/>
    <x:xf numFmtId="202" fontId="2" fillId="8" borderId="2" xfId="0" applyNumberFormat="1" applyFont="1" applyFill="1" applyBorder="1"/>
    <x:xf numFmtId="200" fontId="2" fillId="8" borderId="2" xfId="0" applyNumberFormat="1" applyFont="1" applyFill="1" applyBorder="1"/>
    <x:xf numFmtId="202" fontId="4" fillId="0" borderId="2" xfId="0" applyNumberFormat="1" applyFont="1" applyFill="1" applyBorder="1"/>
    <x:xf numFmtId="0" fontId="5" fillId="8" borderId="2" xfId="0" applyNumberFormat="1" applyFont="1" applyFill="1" applyBorder="1"/>
    <x:xf numFmtId="202" fontId="5" fillId="8" borderId="2" xfId="0" applyNumberFormat="1" applyFont="1" applyFill="1" applyBorder="1"/>
    <x:xf numFmtId="200" fontId="5" fillId="8" borderId="2" xfId="0" applyNumberFormat="1" applyFont="1" applyFill="1" applyBorder="1"/>
    <x:xf numFmtId="0" fontId="0" fillId="12" borderId="0" xfId="0" applyNumberFormat="1" applyFont="1" applyFill="1" applyBorder="1"/>
    <x:xf numFmtId="0" fontId="2" fillId="12" borderId="0" xfId="0" applyNumberFormat="1" applyFont="1" applyFill="1" applyBorder="1"/>
    <x:xf numFmtId="0" fontId="2" fillId="12" borderId="1" xfId="0" applyNumberFormat="1" applyFont="1" applyFill="1" applyBorder="1"/>
    <x:xf numFmtId="0" fontId="2" fillId="12" borderId="1" xfId="0" applyNumberFormat="1" applyFont="1" applyFill="1" applyBorder="1" applyAlignment="1">
      <x:alignment wrapText="1"/>
    </x:xf>
    <x:xf numFmtId="0" fontId="2" fillId="12" borderId="1" xfId="0" applyNumberFormat="1" applyFont="1" applyFill="1" applyBorder="1" applyAlignment="1">
      <x:alignment horizontal="center" wrapText="1"/>
    </x:xf>
    <x:xf numFmtId="0" fontId="2" fillId="12" borderId="1" xfId="0" applyNumberFormat="1" applyFont="1" applyFill="1" applyBorder="1" applyAlignment="1">
      <x:alignment horizontal="center" vertical="center" wrapText="1"/>
    </x:xf>
    <x:xf numFmtId="0" fontId="0" fillId="13" borderId="0" xfId="0" applyNumberFormat="1" applyFont="1" applyFill="1" applyBorder="1"/>
    <x:xf numFmtId="0" fontId="0" fillId="14" borderId="0" xfId="0" applyNumberFormat="1" applyFont="1" applyFill="1" applyBorder="1"/>
    <x:xf numFmtId="200" fontId="0" fillId="13" borderId="0" xfId="0" applyNumberFormat="1" applyFont="1" applyFill="1" applyBorder="1"/>
    <x:xf numFmtId="202" fontId="0" fillId="13" borderId="0" xfId="0" applyNumberFormat="1" applyFont="1" applyFill="1" applyBorder="1"/>
    <x:xf numFmtId="202" fontId="0" fillId="14" borderId="0" xfId="0" applyNumberFormat="1" applyFont="1" applyFill="1" applyBorder="1"/>
    <x:xf numFmtId="200" fontId="0" fillId="14" borderId="0" xfId="0" applyNumberFormat="1" applyFont="1" applyFill="1" applyBorder="1"/>
    <x:xf numFmtId="201" fontId="0" fillId="13" borderId="0" xfId="0" applyNumberFormat="1" applyFont="1" applyFill="1" applyBorder="1"/>
    <x:xf numFmtId="200" fontId="3" fillId="14" borderId="0" xfId="0" applyNumberFormat="1" applyFont="1" applyFill="1" applyBorder="1"/>
    <x:xf numFmtId="0" fontId="0" fillId="15" borderId="0" xfId="0" applyNumberFormat="1" applyFont="1" applyFill="1" applyBorder="1"/>
    <x:xf numFmtId="200" fontId="0" fillId="15" borderId="0" xfId="0" applyNumberFormat="1" applyFont="1" applyFill="1" applyBorder="1"/>
    <x:xf numFmtId="202" fontId="0" fillId="15" borderId="0" xfId="0" applyNumberFormat="1" applyFont="1" applyFill="1" applyBorder="1"/>
    <x:xf numFmtId="0" fontId="2" fillId="12" borderId="2" xfId="0" applyNumberFormat="1" applyFont="1" applyFill="1" applyBorder="1" applyAlignment="1">
      <x:alignment horizontal="center" vertical="center" wrapText="1"/>
    </x:xf>
    <x:xf numFmtId="200" fontId="0" fillId="13" borderId="2" xfId="0" applyNumberFormat="1" applyFont="1" applyFill="1" applyBorder="1"/>
    <x:xf numFmtId="202" fontId="0" fillId="13" borderId="2" xfId="0" applyNumberFormat="1" applyFont="1" applyFill="1" applyBorder="1"/>
    <x:xf numFmtId="202" fontId="0" fillId="14" borderId="2" xfId="0" applyNumberFormat="1" applyFont="1" applyFill="1" applyBorder="1"/>
    <x:xf numFmtId="200" fontId="0" fillId="14" borderId="2" xfId="0" applyNumberFormat="1" applyFont="1" applyFill="1" applyBorder="1"/>
    <x:xf numFmtId="201" fontId="0" fillId="13" borderId="2" xfId="0" applyNumberFormat="1" applyFont="1" applyFill="1" applyBorder="1"/>
    <x:xf numFmtId="200" fontId="3" fillId="14" borderId="2" xfId="0" applyNumberFormat="1" applyFont="1" applyFill="1" applyBorder="1"/>
    <x:xf numFmtId="200" fontId="0" fillId="15" borderId="2" xfId="0" applyNumberFormat="1" applyFont="1" applyFill="1" applyBorder="1"/>
    <x:xf numFmtId="202" fontId="0" fillId="15" borderId="2" xfId="0" applyNumberFormat="1" applyFont="1" applyFill="1" applyBorder="1"/>
    <x:xf numFmtId="0" fontId="5" fillId="12" borderId="2" xfId="0" applyNumberFormat="1" applyFont="1" applyFill="1" applyBorder="1" applyAlignment="1">
      <x:alignment horizontal="center" vertical="center" wrapText="1"/>
    </x:xf>
    <x:xf numFmtId="200" fontId="4" fillId="13" borderId="2" xfId="0" applyNumberFormat="1" applyFont="1" applyFill="1" applyBorder="1"/>
    <x:xf numFmtId="202" fontId="4" fillId="13" borderId="2" xfId="0" applyNumberFormat="1" applyFont="1" applyFill="1" applyBorder="1"/>
    <x:xf numFmtId="200" fontId="4" fillId="15" borderId="2" xfId="0" applyNumberFormat="1" applyFont="1" applyFill="1" applyBorder="1"/>
    <x:xf numFmtId="202" fontId="4" fillId="15" borderId="2" xfId="0" applyNumberFormat="1" applyFont="1" applyFill="1" applyBorder="1"/>
    <x:xf numFmtId="202" fontId="4" fillId="14" borderId="2" xfId="0" applyNumberFormat="1" applyFont="1" applyFill="1" applyBorder="1"/>
    <x:xf numFmtId="200" fontId="4" fillId="14" borderId="2" xfId="0" applyNumberFormat="1" applyFont="1" applyFill="1" applyBorder="1"/>
    <x:xf numFmtId="201" fontId="4" fillId="13" borderId="2" xfId="0" applyNumberFormat="1" applyFont="1" applyFill="1" applyBorder="1"/>
    <x:xf numFmtId="200" fontId="5" fillId="14" borderId="2" xfId="0" applyNumberFormat="1" applyFont="1" applyFill="1" applyBorder="1"/>
    <x:xf numFmtId="202" fontId="2" fillId="12" borderId="0" xfId="0" applyNumberFormat="1" applyFont="1" applyFill="1" applyBorder="1"/>
    <x:xf numFmtId="200" fontId="2" fillId="12" borderId="0" xfId="0" applyNumberFormat="1" applyFont="1" applyFill="1" applyBorder="1"/>
    <x:xf numFmtId="0" fontId="2" fillId="12" borderId="2" xfId="0" applyNumberFormat="1" applyFont="1" applyFill="1" applyBorder="1"/>
    <x:xf numFmtId="202" fontId="2" fillId="12" borderId="2" xfId="0" applyNumberFormat="1" applyFont="1" applyFill="1" applyBorder="1"/>
    <x:xf numFmtId="200" fontId="2" fillId="12" borderId="2" xfId="0" applyNumberFormat="1" applyFont="1" applyFill="1" applyBorder="1"/>
    <x:xf numFmtId="0" fontId="5" fillId="12" borderId="2" xfId="0" applyNumberFormat="1" applyFont="1" applyFill="1" applyBorder="1"/>
    <x:xf numFmtId="202" fontId="5" fillId="12" borderId="2" xfId="0" applyNumberFormat="1" applyFont="1" applyFill="1" applyBorder="1"/>
    <x:xf numFmtId="200" fontId="5" fillId="12" borderId="2" xfId="0" applyNumberFormat="1" applyFont="1" applyFill="1" applyBorder="1"/>
    <x:xf numFmtId="202" fontId="4" fillId="16" borderId="2" xfId="0" applyNumberFormat="1" applyFont="1" applyFill="1" applyBorder="1"/>
    <x:xf numFmtId="0" fontId="0" fillId="17" borderId="0" xfId="0" applyNumberFormat="1" applyFont="1" applyFill="1" applyBorder="1"/>
    <x:xf numFmtId="0" fontId="2" fillId="17" borderId="0" xfId="0" applyNumberFormat="1" applyFont="1" applyFill="1" applyBorder="1"/>
    <x:xf numFmtId="0" fontId="2" fillId="17" borderId="1" xfId="0" applyNumberFormat="1" applyFont="1" applyFill="1" applyBorder="1"/>
    <x:xf numFmtId="0" fontId="2" fillId="17" borderId="1" xfId="0" applyNumberFormat="1" applyFont="1" applyFill="1" applyBorder="1" applyAlignment="1">
      <x:alignment wrapText="1"/>
    </x:xf>
    <x:xf numFmtId="0" fontId="2" fillId="17" borderId="1" xfId="0" applyNumberFormat="1" applyFont="1" applyFill="1" applyBorder="1" applyAlignment="1">
      <x:alignment horizontal="center" wrapText="1"/>
    </x:xf>
    <x:xf numFmtId="0" fontId="2" fillId="17" borderId="1" xfId="0" applyNumberFormat="1" applyFont="1" applyFill="1" applyBorder="1" applyAlignment="1">
      <x:alignment horizontal="center" vertical="center" wrapText="1"/>
    </x:xf>
    <x:xf numFmtId="0" fontId="0" fillId="18" borderId="0" xfId="0" applyNumberFormat="1" applyFont="1" applyFill="1" applyBorder="1"/>
    <x:xf numFmtId="0" fontId="0" fillId="19" borderId="0" xfId="0" applyNumberFormat="1" applyFont="1" applyFill="1" applyBorder="1"/>
    <x:xf numFmtId="0" fontId="5" fillId="17" borderId="2" xfId="0" applyNumberFormat="1" applyFont="1" applyFill="1" applyBorder="1"/>
    <x:xf numFmtId="0" fontId="2" fillId="17" borderId="2" xfId="0" applyNumberFormat="1" applyFont="1" applyFill="1" applyBorder="1"/>
    <x:xf numFmtId="202" fontId="0" fillId="18" borderId="0" xfId="0" applyNumberFormat="1" applyFont="1" applyFill="1" applyBorder="1"/>
    <x:xf numFmtId="202" fontId="0" fillId="19" borderId="0" xfId="0" applyNumberFormat="1" applyFont="1" applyFill="1" applyBorder="1"/>
    <x:xf numFmtId="202" fontId="2" fillId="17" borderId="0" xfId="0" applyNumberFormat="1" applyFont="1" applyFill="1" applyBorder="1"/>
    <x:xf numFmtId="200" fontId="0" fillId="18" borderId="0" xfId="0" applyNumberFormat="1" applyFont="1" applyFill="1" applyBorder="1"/>
    <x:xf numFmtId="200" fontId="0" fillId="19" borderId="0" xfId="0" applyNumberFormat="1" applyFont="1" applyFill="1" applyBorder="1"/>
    <x:xf numFmtId="200" fontId="2" fillId="17" borderId="0" xfId="0" applyNumberFormat="1" applyFont="1" applyFill="1" applyBorder="1"/>
    <x:xf numFmtId="0" fontId="2" fillId="17" borderId="2" xfId="0" applyNumberFormat="1" applyFont="1" applyFill="1" applyBorder="1" applyAlignment="1">
      <x:alignment horizontal="center" vertical="center" wrapText="1"/>
    </x:xf>
    <x:xf numFmtId="202" fontId="0" fillId="18" borderId="2" xfId="0" applyNumberFormat="1" applyFont="1" applyFill="1" applyBorder="1"/>
    <x:xf numFmtId="202" fontId="0" fillId="19" borderId="2" xfId="0" applyNumberFormat="1" applyFont="1" applyFill="1" applyBorder="1"/>
    <x:xf numFmtId="200" fontId="0" fillId="18" borderId="2" xfId="0" applyNumberFormat="1" applyFont="1" applyFill="1" applyBorder="1"/>
    <x:xf numFmtId="200" fontId="0" fillId="19" borderId="2" xfId="0" applyNumberFormat="1" applyFont="1" applyFill="1" applyBorder="1"/>
    <x:xf numFmtId="202" fontId="2" fillId="17" borderId="2" xfId="0" applyNumberFormat="1" applyFont="1" applyFill="1" applyBorder="1"/>
    <x:xf numFmtId="200" fontId="2" fillId="17" borderId="2" xfId="0" applyNumberFormat="1" applyFont="1" applyFill="1" applyBorder="1"/>
    <x:xf numFmtId="202" fontId="0" fillId="20" borderId="2" xfId="0" applyNumberFormat="1" applyFont="1" applyFill="1" applyBorder="1"/>
    <x:xf numFmtId="0" fontId="0" fillId="21" borderId="0" xfId="0" applyNumberFormat="1" applyFont="1" applyFill="1" applyBorder="1"/>
    <x:xf numFmtId="0" fontId="2" fillId="21" borderId="0" xfId="0" applyNumberFormat="1" applyFont="1" applyFill="1" applyBorder="1"/>
    <x:xf numFmtId="0" fontId="2" fillId="21" borderId="1" xfId="0" applyNumberFormat="1" applyFont="1" applyFill="1" applyBorder="1"/>
    <x:xf numFmtId="0" fontId="2" fillId="21" borderId="1" xfId="0" applyNumberFormat="1" applyFont="1" applyFill="1" applyBorder="1" applyAlignment="1">
      <x:alignment wrapText="1"/>
    </x:xf>
    <x:xf numFmtId="0" fontId="2" fillId="21" borderId="1" xfId="0" applyNumberFormat="1" applyFont="1" applyFill="1" applyBorder="1" applyAlignment="1">
      <x:alignment horizontal="center" wrapText="1"/>
    </x:xf>
    <x:xf numFmtId="0" fontId="2" fillId="21" borderId="1" xfId="0" applyNumberFormat="1" applyFont="1" applyFill="1" applyBorder="1" applyAlignment="1">
      <x:alignment horizontal="center" vertical="center" wrapText="1"/>
    </x:xf>
    <x:xf numFmtId="0" fontId="0" fillId="22" borderId="0" xfId="0" applyNumberFormat="1" applyFont="1" applyFill="1" applyBorder="1"/>
    <x:xf numFmtId="200" fontId="0" fillId="22" borderId="0" xfId="0" applyNumberFormat="1" applyFont="1" applyFill="1" applyBorder="1"/>
    <x:xf numFmtId="0" fontId="2" fillId="21" borderId="2" xfId="0" applyNumberFormat="1" applyFont="1" applyFill="1" applyBorder="1" applyAlignment="1">
      <x:alignment horizontal="center" vertical="center" wrapText="1"/>
    </x:xf>
    <x:xf numFmtId="200" fontId="0" fillId="22" borderId="2" xfId="0" applyNumberFormat="1" applyFont="1" applyFill="1" applyBorder="1"/>
    <x:xf numFmtId="0" fontId="2" fillId="21" borderId="2" xfId="0" applyNumberFormat="1" applyFont="1" applyFill="1" applyBorder="1"/>
    <x:xf numFmtId="202" fontId="2" fillId="21" borderId="2" xfId="0" applyNumberFormat="1" applyFont="1" applyFill="1" applyBorder="1"/>
    <x:xf numFmtId="200" fontId="0" fillId="21" borderId="2" xfId="0" applyNumberFormat="1" applyFont="1" applyFill="1" applyBorder="1"/>
    <x:xf numFmtId="0" fontId="0" fillId="21" borderId="2" xfId="0" applyNumberFormat="1" applyFont="1" applyFill="1" applyBorder="1"/>
    <x:xf numFmtId="200" fontId="2" fillId="21" borderId="2" xfId="0" applyNumberFormat="1" applyFont="1" applyFill="1" applyBorder="1"/>
    <x:xf numFmtId="0" fontId="0" fillId="23" borderId="0" xfId="0" applyNumberFormat="1" applyFont="1" applyFill="1" applyBorder="1"/>
    <x:xf numFmtId="0" fontId="0" fillId="23" borderId="2" xfId="0" applyNumberFormat="1" applyFont="1" applyFill="1" applyBorder="1"/>
    <x:xf numFmtId="202" fontId="0" fillId="23" borderId="2" xfId="0" applyNumberFormat="1" applyFont="1" applyFill="1" applyBorder="1"/>
    <x:xf numFmtId="200" fontId="0" fillId="24" borderId="2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cc3a7f7996540f0" /><Relationship Type="http://schemas.openxmlformats.org/officeDocument/2006/relationships/theme" Target="/xl/theme/theme1.xml" Id="R090d1a138b5e4e81" /><Relationship Type="http://schemas.openxmlformats.org/officeDocument/2006/relationships/sharedStrings" Target="/xl/sharedStrings.xml" Id="Re249a02cf07148a9" /><Relationship Type="http://schemas.openxmlformats.org/officeDocument/2006/relationships/worksheet" Target="/xl/worksheets/sheet1.xml" Id="R4745b670395645a1" /><Relationship Type="http://schemas.openxmlformats.org/officeDocument/2006/relationships/worksheet" Target="/xl/worksheets/sheet2.xml" Id="R44c504eb3a5d44e5" /><Relationship Type="http://schemas.openxmlformats.org/officeDocument/2006/relationships/worksheet" Target="/xl/worksheets/sheet3.xml" Id="Rf257a7e7af204b19" /><Relationship Type="http://schemas.openxmlformats.org/officeDocument/2006/relationships/worksheet" Target="/xl/worksheets/sheet4.xml" Id="R10b513f13b7f4661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4" hidden="0" customWidth="1"/>
    <x:col min="2" max="2" width="18" hidden="0" customWidth="1"/>
    <x:col min="3" max="3" width="3" hidden="0" customWidth="1"/>
    <x:col min="4" max="4" width="24" hidden="0" customWidth="1"/>
    <x:col min="5" max="5" width="19" hidden="0" customWidth="1"/>
    <x:col min="6" max="6" width="18" hidden="0" customWidth="1"/>
    <x:col min="7" max="7" width="30" hidden="0" customWidth="1"/>
  </x:cols>
  <x:sheetData>
    <x:row r="1">
      <x:c r="A1" s="23"/>
      <x:c r="B1" s="23"/>
      <x:c r="C1" s="23"/>
      <x:c r="D1" s="23"/>
      <x:c r="E1" s="23"/>
      <x:c r="F1" s="23"/>
    </x:row>
    <x:row r="2">
      <x:c r="A2" s="1" t="str">
        <x:v>Aviation Vendor Pricing</x:v>
      </x:c>
      <x:c r="B2" s="23"/>
      <x:c r="C2" s="23"/>
      <x:c r="D2" s="23"/>
      <x:c r="E2" s="23"/>
      <x:c r="F2" s="23"/>
    </x:row>
    <x:row r="3">
      <x:c r="A3" s="23" t="str">
        <x:v>Illustrative pricing worksheet. All bright-green prices are editable examples, not vendor quotes.</x:v>
      </x:c>
      <x:c r="B3" s="23"/>
      <x:c r="C3" s="23"/>
      <x:c r="D3" s="23"/>
      <x:c r="E3" s="23"/>
      <x:c r="F3" s="23"/>
    </x:row>
    <x:row r="4">
      <x:c r="A4" s="23"/>
      <x:c r="B4" s="23"/>
      <x:c r="C4" s="23"/>
      <x:c r="D4" s="23"/>
      <x:c r="E4" s="23"/>
      <x:c r="F4" s="23"/>
    </x:row>
    <x:row r="5">
      <x:c r="A5" s="113" t="str">
        <x:v>Editable example assumptions</x:v>
      </x:c>
      <x:c r="B5" s="113" t="str">
        <x:v>Value</x:v>
      </x:c>
      <x:c r="C5" s="23"/>
      <x:c r="D5" s="113" t="str">
        <x:v>Example price scenarios</x:v>
      </x:c>
      <x:c r="E5" s="113"/>
      <x:c r="F5" s="113"/>
    </x:row>
    <x:row r="6">
      <x:c r="A6" s="26" t="str">
        <x:v>Reference example price per passenger</x:v>
      </x:c>
      <x:c r="B6" s="135" t="n">
        <x:v>2550</x:v>
      </x:c>
      <x:c r="C6" s="23"/>
      <x:c r="D6" s="113" t="str">
        <x:v>Example price per passenger</x:v>
      </x:c>
      <x:c r="E6" s="113" t="str">
        <x:v>Mission target passengers</x:v>
      </x:c>
      <x:c r="F6" s="113" t="str">
        <x:v>Illustrative passenger total</x:v>
      </x:c>
    </x:row>
    <x:row r="7">
      <x:c r="A7" s="26" t="str">
        <x:v>Mission target passengers</x:v>
      </x:c>
      <x:c r="B7" s="136" t="n">
        <x:v>4500</x:v>
      </x:c>
      <x:c r="C7" s="23"/>
      <x:c r="D7" s="137" t="n">
        <x:v>2250</x:v>
      </x:c>
      <x:c r="E7" s="138" t="n">
        <x:f>$B$7</x:f>
        <x:v>4500</x:v>
      </x:c>
      <x:c r="F7" s="137" t="n">
        <x:f>D7*E7</x:f>
        <x:v>10125000</x:v>
      </x:c>
    </x:row>
    <x:row r="8">
      <x:c r="A8" s="26" t="str">
        <x:v>Passengers calculated from routes</x:v>
      </x:c>
      <x:c r="B8" s="139" t="n">
        <x:f>'Flight Pricing'!E41</x:f>
        <x:v>0</x:v>
      </x:c>
      <x:c r="C8" s="23"/>
      <x:c r="D8" s="137" t="n">
        <x:v>2550</x:v>
      </x:c>
      <x:c r="E8" s="138" t="n">
        <x:f>$B$7</x:f>
        <x:v>4500</x:v>
      </x:c>
      <x:c r="F8" s="137" t="n">
        <x:f>D8*E8</x:f>
        <x:v>11475000</x:v>
      </x:c>
    </x:row>
    <x:row r="9">
      <x:c r="A9" s="26"/>
      <x:c r="B9" s="26"/>
      <x:c r="C9" s="23"/>
      <x:c r="D9" s="137" t="n">
        <x:v>2850</x:v>
      </x:c>
      <x:c r="E9" s="138" t="n">
        <x:f>$B$7</x:f>
        <x:v>4500</x:v>
      </x:c>
      <x:c r="F9" s="137" t="n">
        <x:f>D9*E9</x:f>
        <x:v>12825000</x:v>
      </x:c>
    </x:row>
    <x:row r="10">
      <x:c r="A10" s="113" t="str">
        <x:v>Calculated price summary</x:v>
      </x:c>
      <x:c r="B10" s="113" t="str">
        <x:v>Amount</x:v>
      </x:c>
      <x:c r="C10" s="23"/>
      <x:c r="D10" s="23"/>
      <x:c r="E10" s="23"/>
      <x:c r="F10" s="23"/>
    </x:row>
    <x:row r="11">
      <x:c r="A11" s="26" t="str">
        <x:v>Route pricing total</x:v>
      </x:c>
      <x:c r="B11" s="140" t="n">
        <x:f>'Flight Pricing'!K41</x:f>
        <x:v>0</x:v>
      </x:c>
      <x:c r="C11" s="23"/>
      <x:c r="D11" s="78" t="str">
        <x:v>Examples only—not a vendor quote.</x:v>
      </x:c>
      <x:c r="E11" s="23"/>
      <x:c r="F11" s="23"/>
    </x:row>
    <x:row r="12">
      <x:c r="A12" s="26" t="str">
        <x:v>Fixed costs total</x:v>
      </x:c>
      <x:c r="B12" s="140" t="n">
        <x:f>'Fixed Costs'!C19</x:f>
        <x:v>0</x:v>
      </x:c>
      <x:c r="C12" s="23"/>
      <x:c r="D12" s="23"/>
      <x:c r="E12" s="23"/>
      <x:c r="F12" s="23"/>
    </x:row>
    <x:row r="13">
      <x:c r="A13" s="26" t="str">
        <x:v>Subtotal</x:v>
      </x:c>
      <x:c r="B13" s="140" t="n">
        <x:f>SUM(B11:B12)</x:f>
        <x:v>0</x:v>
      </x:c>
      <x:c r="C13" s="23"/>
      <x:c r="D13" s="181" t="str">
        <x:v>Available Aircraft Examples — Vendor Input (No Formulas)</x:v>
      </x:c>
      <x:c r="E13" s="181"/>
      <x:c r="F13" s="181"/>
      <x:c r="G13" s="181"/>
    </x:row>
    <x:row r="14">
      <x:c r="A14" s="26" t="str">
        <x:v>Discount percentage</x:v>
      </x:c>
      <x:c r="B14" s="141" t="n">
        <x:v>0</x:v>
      </x:c>
      <x:c r="C14" s="23"/>
      <x:c r="D14" s="181" t="str">
        <x:v>Aircraft type / model</x:v>
      </x:c>
      <x:c r="E14" s="181" t="str">
        <x:v>Passenger capacity</x:v>
      </x:c>
      <x:c r="F14" s="181" t="str">
        <x:v>Quantity available</x:v>
      </x:c>
      <x:c r="G14" s="181" t="str">
        <x:v>Notes</x:v>
      </x:c>
    </x:row>
    <x:row r="15">
      <x:c r="A15" s="26" t="str">
        <x:v>Discount amount</x:v>
      </x:c>
      <x:c r="B15" s="140" t="n">
        <x:f>B13*B14</x:f>
        <x:v>0</x:v>
      </x:c>
      <x:c r="C15" s="23"/>
      <x:c r="D15" s="192"/>
      <x:c r="E15" s="193"/>
      <x:c r="F15" s="193"/>
      <x:c r="G15" s="192"/>
    </x:row>
    <x:row r="16">
      <x:c r="A16" s="26" t="str">
        <x:v>Tax percentage</x:v>
      </x:c>
      <x:c r="B16" s="141" t="n">
        <x:v>0</x:v>
      </x:c>
      <x:c r="C16" s="23"/>
      <x:c r="D16" s="192"/>
      <x:c r="E16" s="193"/>
      <x:c r="F16" s="193"/>
      <x:c r="G16" s="192"/>
    </x:row>
    <x:row r="17">
      <x:c r="A17" s="26" t="str">
        <x:v>Tax amount</x:v>
      </x:c>
      <x:c r="B17" s="140" t="n">
        <x:f>(B13-B15)*B16</x:f>
        <x:v>0</x:v>
      </x:c>
      <x:c r="C17" s="23"/>
      <x:c r="D17" s="192"/>
      <x:c r="E17" s="193"/>
      <x:c r="F17" s="193"/>
      <x:c r="G17" s="192"/>
    </x:row>
    <x:row r="18">
      <x:c r="A18" s="29" t="str">
        <x:v>GRAND TOTAL</x:v>
      </x:c>
      <x:c r="B18" s="142" t="n">
        <x:f>B13-B15+B17</x:f>
        <x:v>0</x:v>
      </x:c>
      <x:c r="C18" s="23"/>
      <x:c r="D18" s="192"/>
      <x:c r="E18" s="193"/>
      <x:c r="F18" s="193"/>
      <x:c r="G18" s="192"/>
    </x:row>
    <x:row r="19">
      <x:c r="A19" s="26" t="str">
        <x:v>Effective total cost per passenger</x:v>
      </x:c>
      <x:c r="B19" s="140" t="str">
        <x:f>IFERROR(B18/B8,"")</x:f>
      </x:c>
      <x:c r="C19" s="23"/>
      <x:c r="D19" s="192"/>
      <x:c r="E19" s="193"/>
      <x:c r="F19" s="193"/>
      <x:c r="G19" s="192"/>
    </x:row>
    <x:row r="20">
      <x:c r="A20" s="23"/>
      <x:c r="B20" s="23"/>
      <x:c r="C20" s="23"/>
      <x:c r="D20" s="192"/>
      <x:c r="E20" s="193"/>
      <x:c r="F20" s="193"/>
      <x:c r="G20" s="192"/>
    </x:row>
    <x:row r="21">
      <x:c r="A21" s="23"/>
      <x:c r="B21" s="23"/>
      <x:c r="C21" s="23"/>
      <x:c r="D21" s="23"/>
      <x:c r="E21" s="23"/>
      <x:c r="F21" s="23"/>
    </x:row>
    <x:row r="22">
      <x:c r="A22" s="23"/>
      <x:c r="B22" s="23"/>
      <x:c r="C22" s="23"/>
      <x:c r="D22" s="23"/>
      <x:c r="E22" s="23"/>
      <x:c r="F22" s="23"/>
    </x:row>
    <x:row r="23">
      <x:c r="A23" s="23"/>
      <x:c r="B23" s="23"/>
      <x:c r="C23" s="23"/>
      <x:c r="D23" s="23"/>
      <x:c r="E23" s="23"/>
      <x:c r="F23" s="23"/>
    </x:row>
    <x:row r="24">
      <x:c r="A24" s="23"/>
      <x:c r="B24" s="23"/>
      <x:c r="C24" s="23"/>
      <x:c r="D24" s="23"/>
      <x:c r="E24" s="23"/>
      <x:c r="F24" s="23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ySplit="9" topLeftCell="A10" activePane="bottomLeft" state="frozen"/>
    </x:sheetView>
  </x:sheetViews>
  <x:sheetFormatPr defaultRowHeight="15"/>
  <x:cols>
    <x:col min="1" max="1" width="7" hidden="0" customWidth="1"/>
    <x:col min="2" max="2" width="18" hidden="0" customWidth="1"/>
    <x:col min="3" max="3" width="9" hidden="0" customWidth="1"/>
    <x:col min="4" max="4" width="24" hidden="0" customWidth="1"/>
    <x:col min="5" max="5" width="15" hidden="0" customWidth="1"/>
    <x:col min="6" max="6" width="15" hidden="0" customWidth="1"/>
    <x:col min="7" max="7" width="18" hidden="0" customWidth="1"/>
    <x:col min="8" max="8" width="18" hidden="0" customWidth="1"/>
    <x:col min="9" max="9" width="18" hidden="0" customWidth="1"/>
    <x:col min="10" max="10" width="18" hidden="0" customWidth="1"/>
    <x:col min="11" max="11" width="18" hidden="0" customWidth="1"/>
    <x:col min="12" max="12" width="30" hidden="0" customWidth="1"/>
    <x:col min="13" max="13" width="2" hidden="0" customWidth="1"/>
  </x:cols>
  <x:sheetData>
    <x:row r="1">
      <x:c r="A1" s="23"/>
      <x:c r="B1" s="23"/>
      <x:c r="C1" s="23"/>
      <x:c r="D1" s="23"/>
      <x:c r="E1" s="23"/>
      <x:c r="F1" s="23"/>
      <x:c r="G1" s="23"/>
      <x:c r="H1" s="23"/>
      <x:c r="I1" s="23"/>
      <x:c r="J1" s="23"/>
      <x:c r="K1" s="23"/>
      <x:c r="L1" s="23"/>
      <x:c r="M1" s="23"/>
    </x:row>
    <x:row r="2">
      <x:c r="A2" s="1" t="str">
        <x:v>Flight Route Pricing</x:v>
      </x:c>
      <x:c r="B2" s="23"/>
      <x:c r="C2" s="23"/>
      <x:c r="D2" s="23"/>
      <x:c r="E2" s="23"/>
      <x:c r="F2" s="23"/>
      <x:c r="G2" s="23"/>
      <x:c r="H2" s="23"/>
      <x:c r="I2" s="23"/>
      <x:c r="J2" s="23"/>
      <x:c r="K2" s="23"/>
      <x:c r="L2" s="23"/>
      <x:c r="M2" s="23"/>
    </x:row>
    <x:row r="3">
      <x:c r="A3" s="23" t="str">
        <x:v>Vendor enters total passengers, rotations, price per passenger, and additional cost per rotation in bright-green cells. The $2,550 rate is only an editable example.</x:v>
      </x:c>
      <x:c r="B3" s="23"/>
      <x:c r="C3" s="23"/>
      <x:c r="D3" s="23"/>
      <x:c r="E3" s="23"/>
      <x:c r="F3" s="23"/>
      <x:c r="G3" s="23"/>
      <x:c r="H3" s="23"/>
      <x:c r="I3" s="23"/>
      <x:c r="J3" s="23"/>
      <x:c r="K3" s="23"/>
      <x:c r="L3" s="23"/>
      <x:c r="M3" s="23"/>
    </x:row>
    <x:row r="4">
      <x:c r="A4" s="23"/>
      <x:c r="B4" s="23"/>
      <x:c r="C4" s="23"/>
      <x:c r="D4" s="23"/>
      <x:c r="E4" s="23"/>
      <x:c r="F4" s="23"/>
      <x:c r="G4" s="23"/>
      <x:c r="H4" s="23"/>
      <x:c r="I4" s="23"/>
      <x:c r="J4" s="23"/>
      <x:c r="K4" s="23"/>
      <x:c r="L4" s="23"/>
      <x:c r="M4" s="23"/>
    </x:row>
    <x:row r="5">
      <x:c r="A5" s="23"/>
      <x:c r="B5" s="23" t="str">
        <x:v>Origin: PAP</x:v>
      </x:c>
      <x:c r="C5" s="23"/>
      <x:c r="D5" s="23" t="str">
        <x:v>Mission target: 4,500 passengers</x:v>
      </x:c>
      <x:c r="E5" s="23"/>
      <x:c r="F5" s="23"/>
      <x:c r="G5" s="23"/>
      <x:c r="H5" s="23"/>
      <x:c r="I5" s="23"/>
      <x:c r="J5" s="23"/>
      <x:c r="K5" s="23"/>
      <x:c r="L5" s="23"/>
      <x:c r="M5" s="23"/>
    </x:row>
    <x:row r="6">
      <x:c r="A6" s="23"/>
      <x:c r="B6" s="23" t="str">
        <x:v>Baggage: 100 kg/person</x:v>
      </x:c>
      <x:c r="C6" s="23"/>
      <x:c r="D6" s="23"/>
      <x:c r="E6" s="23"/>
      <x:c r="F6" s="23"/>
      <x:c r="G6" s="23"/>
      <x:c r="H6" s="23"/>
      <x:c r="I6" s="23"/>
      <x:c r="J6" s="23"/>
      <x:c r="K6" s="23"/>
      <x:c r="L6" s="23"/>
      <x:c r="M6" s="23"/>
    </x:row>
    <x:row r="7">
      <x:c r="A7" s="23"/>
      <x:c r="B7" s="23"/>
      <x:c r="C7" s="23"/>
      <x:c r="D7" s="23"/>
      <x:c r="E7" s="23"/>
      <x:c r="F7" s="23"/>
      <x:c r="G7" s="23"/>
      <x:c r="H7" s="23"/>
      <x:c r="I7" s="23"/>
      <x:c r="J7" s="23"/>
      <x:c r="K7" s="23"/>
      <x:c r="L7" s="23"/>
      <x:c r="M7" s="23"/>
    </x:row>
    <x:row r="8">
      <x:c r="A8" s="23"/>
      <x:c r="B8" s="23"/>
      <x:c r="C8" s="23"/>
      <x:c r="D8" s="23"/>
      <x:c r="E8" s="23"/>
      <x:c r="F8" s="23"/>
      <x:c r="G8" s="23"/>
      <x:c r="H8" s="23"/>
      <x:c r="I8" s="23"/>
      <x:c r="J8" s="23"/>
      <x:c r="K8" s="23"/>
      <x:c r="L8" s="23"/>
      <x:c r="M8" s="23"/>
    </x:row>
    <x:row r="9">
      <x:c r="A9" s="113" t="str">
        <x:v>Line</x:v>
      </x:c>
      <x:c r="B9" s="113" t="str">
        <x:v>Region</x:v>
      </x:c>
      <x:c r="C9" s="113" t="str">
        <x:v>Origin</x:v>
      </x:c>
      <x:c r="D9" s="113" t="str">
        <x:v>Destination</x:v>
      </x:c>
      <x:c r="E9" s="168" t="str">
        <x:v>Total passengers (pricing input)</x:v>
      </x:c>
      <x:c r="F9" s="168" t="str">
        <x:v>Rotations</x:v>
      </x:c>
      <x:c r="G9" s="168" t="str">
        <x:v>Example price per passenger (vendor input)</x:v>
      </x:c>
      <x:c r="H9" s="168" t="str">
        <x:v>Other cost per rotation</x:v>
      </x:c>
      <x:c r="I9" s="184" t="str">
        <x:v>Passenger pricing total</x:v>
      </x:c>
      <x:c r="J9" s="184" t="str">
        <x:v>Other-cost total</x:v>
      </x:c>
      <x:c r="K9" s="184" t="str">
        <x:v>Line total</x:v>
      </x:c>
      <x:c r="L9" s="184" t="str">
        <x:v>Notes / exclusions</x:v>
      </x:c>
      <x:c r="M9"/>
    </x:row>
    <x:row r="10">
      <x:c r="A10" s="26" t="n">
        <x:v>1</x:v>
      </x:c>
      <x:c r="B10" s="26" t="str">
        <x:v>Central America</x:v>
      </x:c>
      <x:c r="C10" s="26" t="str">
        <x:v>PAP</x:v>
      </x:c>
      <x:c r="D10" s="26" t="str">
        <x:v>Guatemala City (GUA)</x:v>
      </x:c>
      <x:c r="E10" s="175"/>
      <x:c r="F10" s="170"/>
      <x:c r="G10" s="194" t="n">
        <x:v>2550</x:v>
      </x:c>
      <x:c r="H10" s="172"/>
      <x:c r="I10" s="185" t="str">
        <x:f>IF(E10="","",E10*G10)</x:f>
      </x:c>
      <x:c r="J10" s="185" t="str">
        <x:f>IF(F10="","",F10*IF(H10="",0,H10))</x:f>
      </x:c>
      <x:c r="K10" s="185" t="str">
        <x:f>IF(I10="","",I10+J10)</x:f>
      </x:c>
      <x:c r="L10" s="17"/>
      <x:c r="M10"/>
    </x:row>
    <x:row r="11">
      <x:c r="A11" s="26" t="n">
        <x:v>2</x:v>
      </x:c>
      <x:c r="B11" s="26" t="str">
        <x:v>Central America</x:v>
      </x:c>
      <x:c r="C11" s="26" t="str">
        <x:v>PAP</x:v>
      </x:c>
      <x:c r="D11" s="26" t="str">
        <x:v>San Salvador (SAL)</x:v>
      </x:c>
      <x:c r="E11" s="175"/>
      <x:c r="F11" s="170"/>
      <x:c r="G11" s="194" t="n">
        <x:v>2550</x:v>
      </x:c>
      <x:c r="H11" s="172"/>
      <x:c r="I11" s="185" t="str">
        <x:f>IF(E11="","",E11*G11)</x:f>
      </x:c>
      <x:c r="J11" s="185" t="str">
        <x:f>IF(F11="","",F11*IF(H11="",0,H11))</x:f>
      </x:c>
      <x:c r="K11" s="185" t="str">
        <x:f>IF(I11="","",I11+J11)</x:f>
      </x:c>
      <x:c r="L11" s="17"/>
      <x:c r="M11"/>
    </x:row>
    <x:row r="12">
      <x:c r="A12" s="26" t="n">
        <x:v>3</x:v>
      </x:c>
      <x:c r="B12" s="26" t="str">
        <x:v>Central America</x:v>
      </x:c>
      <x:c r="C12" s="26" t="str">
        <x:v>PAP</x:v>
      </x:c>
      <x:c r="D12" s="26" t="str">
        <x:v>Panama City (PTY)</x:v>
      </x:c>
      <x:c r="E12" s="175"/>
      <x:c r="F12" s="170"/>
      <x:c r="G12" s="194" t="n">
        <x:v>2550</x:v>
      </x:c>
      <x:c r="H12" s="172"/>
      <x:c r="I12" s="185" t="str">
        <x:f>IF(E12="","",E12*G12)</x:f>
      </x:c>
      <x:c r="J12" s="185" t="str">
        <x:f>IF(F12="","",F12*IF(H12="",0,H12))</x:f>
      </x:c>
      <x:c r="K12" s="185" t="str">
        <x:f>IF(I12="","",I12+J12)</x:f>
      </x:c>
      <x:c r="L12" s="17"/>
      <x:c r="M12"/>
    </x:row>
    <x:row r="13">
      <x:c r="A13" s="26" t="n">
        <x:v>4</x:v>
      </x:c>
      <x:c r="B13" s="26" t="str">
        <x:v>Central Africa</x:v>
      </x:c>
      <x:c r="C13" s="26" t="str">
        <x:v>PAP</x:v>
      </x:c>
      <x:c r="D13" s="26" t="str">
        <x:v>Bangui (BGF)</x:v>
      </x:c>
      <x:c r="E13" s="175"/>
      <x:c r="F13" s="170"/>
      <x:c r="G13" s="194" t="n">
        <x:v>2550</x:v>
      </x:c>
      <x:c r="H13" s="172"/>
      <x:c r="I13" s="185" t="str">
        <x:f>IF(E13="","",E13*G13)</x:f>
      </x:c>
      <x:c r="J13" s="185" t="str">
        <x:f>IF(F13="","",F13*IF(H13="",0,H13))</x:f>
      </x:c>
      <x:c r="K13" s="185" t="str">
        <x:f>IF(I13="","",I13+J13)</x:f>
      </x:c>
      <x:c r="L13" s="17"/>
      <x:c r="M13"/>
    </x:row>
    <x:row r="14">
      <x:c r="A14" s="26" t="n">
        <x:v>5</x:v>
      </x:c>
      <x:c r="B14" s="26" t="str">
        <x:v>Central Africa</x:v>
      </x:c>
      <x:c r="C14" s="26" t="str">
        <x:v>PAP</x:v>
      </x:c>
      <x:c r="D14" s="26" t="str">
        <x:v>N'Djamena (NDJ)</x:v>
      </x:c>
      <x:c r="E14" s="175"/>
      <x:c r="F14" s="170"/>
      <x:c r="G14" s="194" t="n">
        <x:v>2550</x:v>
      </x:c>
      <x:c r="H14" s="172"/>
      <x:c r="I14" s="185" t="str">
        <x:f>IF(E14="","",E14*G14)</x:f>
      </x:c>
      <x:c r="J14" s="185" t="str">
        <x:f>IF(F14="","",F14*IF(H14="",0,H14))</x:f>
      </x:c>
      <x:c r="K14" s="185" t="str">
        <x:f>IF(I14="","",I14+J14)</x:f>
      </x:c>
      <x:c r="L14" s="17"/>
      <x:c r="M14"/>
    </x:row>
    <x:row r="15">
      <x:c r="A15" s="26" t="n">
        <x:v>6</x:v>
      </x:c>
      <x:c r="B15" s="26" t="str">
        <x:v>Africa</x:v>
      </x:c>
      <x:c r="C15" s="26" t="str">
        <x:v>PAP</x:v>
      </x:c>
      <x:c r="D15" s="26" t="str">
        <x:v>Kigali (KGL)</x:v>
      </x:c>
      <x:c r="E15" s="175"/>
      <x:c r="F15" s="170"/>
      <x:c r="G15" s="194" t="n">
        <x:v>2550</x:v>
      </x:c>
      <x:c r="H15" s="172"/>
      <x:c r="I15" s="185" t="str">
        <x:f>IF(E15="","",E15*G15)</x:f>
      </x:c>
      <x:c r="J15" s="185" t="str">
        <x:f>IF(F15="","",F15*IF(H15="",0,H15))</x:f>
      </x:c>
      <x:c r="K15" s="185" t="str">
        <x:f>IF(I15="","",I15+J15)</x:f>
      </x:c>
      <x:c r="L15" s="17"/>
      <x:c r="M15"/>
    </x:row>
    <x:row r="16">
      <x:c r="A16" s="26" t="n">
        <x:v>7</x:v>
      </x:c>
      <x:c r="B16" s="26" t="str">
        <x:v>Africa</x:v>
      </x:c>
      <x:c r="C16" s="26" t="str">
        <x:v>PAP</x:v>
      </x:c>
      <x:c r="D16" s="26" t="str">
        <x:v>Nairobi (NBO)</x:v>
      </x:c>
      <x:c r="E16" s="175"/>
      <x:c r="F16" s="170"/>
      <x:c r="G16" s="194" t="n">
        <x:v>2550</x:v>
      </x:c>
      <x:c r="H16" s="172"/>
      <x:c r="I16" s="185" t="str">
        <x:f>IF(E16="","",E16*G16)</x:f>
      </x:c>
      <x:c r="J16" s="185" t="str">
        <x:f>IF(F16="","",F16*IF(H16="",0,H16))</x:f>
      </x:c>
      <x:c r="K16" s="185" t="str">
        <x:f>IF(I16="","",I16+J16)</x:f>
      </x:c>
      <x:c r="L16" s="17"/>
      <x:c r="M16"/>
    </x:row>
    <x:row r="17">
      <x:c r="A17" s="26" t="n">
        <x:v>8</x:v>
      </x:c>
      <x:c r="B17" s="26" t="str">
        <x:v>Africa</x:v>
      </x:c>
      <x:c r="C17" s="26" t="str">
        <x:v>PAP</x:v>
      </x:c>
      <x:c r="D17" s="26" t="str">
        <x:v>Entebbe (EBB)</x:v>
      </x:c>
      <x:c r="E17" s="175"/>
      <x:c r="F17" s="170"/>
      <x:c r="G17" s="194" t="n">
        <x:v>2550</x:v>
      </x:c>
      <x:c r="H17" s="172"/>
      <x:c r="I17" s="185" t="str">
        <x:f>IF(E17="","",E17*G17)</x:f>
      </x:c>
      <x:c r="J17" s="185" t="str">
        <x:f>IF(F17="","",F17*IF(H17="",0,H17))</x:f>
      </x:c>
      <x:c r="K17" s="185" t="str">
        <x:f>IF(I17="","",I17+J17)</x:f>
      </x:c>
      <x:c r="L17" s="17"/>
      <x:c r="M17"/>
    </x:row>
    <x:row r="18">
      <x:c r="A18" s="26" t="n">
        <x:v>9</x:v>
      </x:c>
      <x:c r="B18" s="26" t="str">
        <x:v>Asia</x:v>
      </x:c>
      <x:c r="C18" s="26" t="str">
        <x:v>PAP</x:v>
      </x:c>
      <x:c r="D18" s="26" t="str">
        <x:v>Dhaka (DAC)</x:v>
      </x:c>
      <x:c r="E18" s="175"/>
      <x:c r="F18" s="170"/>
      <x:c r="G18" s="194" t="n">
        <x:v>2550</x:v>
      </x:c>
      <x:c r="H18" s="172"/>
      <x:c r="I18" s="185" t="str">
        <x:f>IF(E18="","",E18*G18)</x:f>
      </x:c>
      <x:c r="J18" s="185" t="str">
        <x:f>IF(F18="","",F18*IF(H18="",0,H18))</x:f>
      </x:c>
      <x:c r="K18" s="185" t="str">
        <x:f>IF(I18="","",I18+J18)</x:f>
      </x:c>
      <x:c r="L18" s="17"/>
      <x:c r="M18"/>
    </x:row>
    <x:row r="19">
      <x:c r="A19" s="26" t="n">
        <x:v>10</x:v>
      </x:c>
      <x:c r="B19" s="26" t="str">
        <x:v>Asia</x:v>
      </x:c>
      <x:c r="C19" s="26" t="str">
        <x:v>PAP</x:v>
      </x:c>
      <x:c r="D19" s="26" t="str">
        <x:v>Kathmandu (KTM)</x:v>
      </x:c>
      <x:c r="E19" s="175"/>
      <x:c r="F19" s="170"/>
      <x:c r="G19" s="194" t="n">
        <x:v>2550</x:v>
      </x:c>
      <x:c r="H19" s="172"/>
      <x:c r="I19" s="185" t="str">
        <x:f>IF(E19="","",E19*G19)</x:f>
      </x:c>
      <x:c r="J19" s="185" t="str">
        <x:f>IF(F19="","",F19*IF(H19="",0,H19))</x:f>
      </x:c>
      <x:c r="K19" s="185" t="str">
        <x:f>IF(I19="","",I19+J19)</x:f>
      </x:c>
      <x:c r="L19" s="17"/>
      <x:c r="M19"/>
    </x:row>
    <x:row r="20">
      <x:c r="A20" s="26" t="n">
        <x:v>11</x:v>
      </x:c>
      <x:c r="B20" s="26" t="str">
        <x:v>Asia</x:v>
      </x:c>
      <x:c r="C20" s="26" t="str">
        <x:v>PAP</x:v>
      </x:c>
      <x:c r="D20" s="26" t="str">
        <x:v>New Delhi (DEL)</x:v>
      </x:c>
      <x:c r="E20" s="175"/>
      <x:c r="F20" s="170"/>
      <x:c r="G20" s="194" t="n">
        <x:v>2550</x:v>
      </x:c>
      <x:c r="H20" s="172"/>
      <x:c r="I20" s="185" t="str">
        <x:f>IF(E20="","",E20*G20)</x:f>
      </x:c>
      <x:c r="J20" s="185" t="str">
        <x:f>IF(F20="","",F20*IF(H20="",0,H20))</x:f>
      </x:c>
      <x:c r="K20" s="185" t="str">
        <x:f>IF(I20="","",I20+J20)</x:f>
      </x:c>
      <x:c r="L20" s="17"/>
      <x:c r="M20"/>
    </x:row>
    <x:row r="21">
      <x:c r="A21" s="26" t="n">
        <x:v>12</x:v>
      </x:c>
      <x:c r="B21" s="26" t="str">
        <x:v>Asia</x:v>
      </x:c>
      <x:c r="C21" s="26" t="str">
        <x:v>PAP</x:v>
      </x:c>
      <x:c r="D21" s="26" t="str">
        <x:v>Colombo (CMB)</x:v>
      </x:c>
      <x:c r="E21" s="175"/>
      <x:c r="F21" s="170"/>
      <x:c r="G21" s="194" t="n">
        <x:v>2550</x:v>
      </x:c>
      <x:c r="H21" s="172"/>
      <x:c r="I21" s="185" t="str">
        <x:f>IF(E21="","",E21*G21)</x:f>
      </x:c>
      <x:c r="J21" s="185" t="str">
        <x:f>IF(F21="","",F21*IF(H21="",0,H21))</x:f>
      </x:c>
      <x:c r="K21" s="185" t="str">
        <x:f>IF(I21="","",I21+J21)</x:f>
      </x:c>
      <x:c r="L21" s="17"/>
      <x:c r="M21"/>
    </x:row>
    <x:row r="22">
      <x:c r="A22" s="26" t="n">
        <x:v>13</x:v>
      </x:c>
      <x:c r="B22" s="26"/>
      <x:c r="C22" s="26" t="str">
        <x:v>PAP</x:v>
      </x:c>
      <x:c r="D22" s="26"/>
      <x:c r="E22" s="175"/>
      <x:c r="F22" s="170"/>
      <x:c r="G22" s="194" t="n">
        <x:v>2550</x:v>
      </x:c>
      <x:c r="H22" s="172"/>
      <x:c r="I22" s="185" t="str">
        <x:f>IF(E22="","",E22*G22)</x:f>
      </x:c>
      <x:c r="J22" s="185" t="str">
        <x:f>IF(F22="","",F22*IF(H22="",0,H22))</x:f>
      </x:c>
      <x:c r="K22" s="185" t="str">
        <x:f>IF(I22="","",I22+J22)</x:f>
      </x:c>
      <x:c r="L22" s="17"/>
      <x:c r="M22"/>
    </x:row>
    <x:row r="23">
      <x:c r="A23" s="26" t="n">
        <x:v>14</x:v>
      </x:c>
      <x:c r="B23" s="26"/>
      <x:c r="C23" s="26" t="str">
        <x:v>PAP</x:v>
      </x:c>
      <x:c r="D23" s="26"/>
      <x:c r="E23" s="175"/>
      <x:c r="F23" s="170"/>
      <x:c r="G23" s="194" t="n">
        <x:v>2550</x:v>
      </x:c>
      <x:c r="H23" s="172"/>
      <x:c r="I23" s="185" t="str">
        <x:f>IF(E23="","",E23*G23)</x:f>
      </x:c>
      <x:c r="J23" s="185" t="str">
        <x:f>IF(F23="","",F23*IF(H23="",0,H23))</x:f>
      </x:c>
      <x:c r="K23" s="185" t="str">
        <x:f>IF(I23="","",I23+J23)</x:f>
      </x:c>
      <x:c r="L23" s="17"/>
      <x:c r="M23"/>
    </x:row>
    <x:row r="24">
      <x:c r="A24" s="26" t="n">
        <x:v>15</x:v>
      </x:c>
      <x:c r="B24" s="26"/>
      <x:c r="C24" s="26" t="str">
        <x:v>PAP</x:v>
      </x:c>
      <x:c r="D24" s="26"/>
      <x:c r="E24" s="175"/>
      <x:c r="F24" s="170"/>
      <x:c r="G24" s="194" t="n">
        <x:v>2550</x:v>
      </x:c>
      <x:c r="H24" s="172"/>
      <x:c r="I24" s="185" t="str">
        <x:f>IF(E24="","",E24*G24)</x:f>
      </x:c>
      <x:c r="J24" s="185" t="str">
        <x:f>IF(F24="","",F24*IF(H24="",0,H24))</x:f>
      </x:c>
      <x:c r="K24" s="185" t="str">
        <x:f>IF(I24="","",I24+J24)</x:f>
      </x:c>
      <x:c r="L24" s="17"/>
      <x:c r="M24"/>
    </x:row>
    <x:row r="25">
      <x:c r="A25" s="26" t="n">
        <x:v>16</x:v>
      </x:c>
      <x:c r="B25" s="26"/>
      <x:c r="C25" s="26" t="str">
        <x:v>PAP</x:v>
      </x:c>
      <x:c r="D25" s="26"/>
      <x:c r="E25" s="175"/>
      <x:c r="F25" s="170"/>
      <x:c r="G25" s="194" t="n">
        <x:v>2550</x:v>
      </x:c>
      <x:c r="H25" s="172"/>
      <x:c r="I25" s="185" t="str">
        <x:f>IF(E25="","",E25*G25)</x:f>
      </x:c>
      <x:c r="J25" s="185" t="str">
        <x:f>IF(F25="","",F25*IF(H25="",0,H25))</x:f>
      </x:c>
      <x:c r="K25" s="185" t="str">
        <x:f>IF(I25="","",I25+J25)</x:f>
      </x:c>
      <x:c r="L25" s="17"/>
      <x:c r="M25"/>
    </x:row>
    <x:row r="26">
      <x:c r="A26" s="26" t="n">
        <x:v>17</x:v>
      </x:c>
      <x:c r="B26" s="26"/>
      <x:c r="C26" s="26" t="str">
        <x:v>PAP</x:v>
      </x:c>
      <x:c r="D26" s="26"/>
      <x:c r="E26" s="175"/>
      <x:c r="F26" s="170"/>
      <x:c r="G26" s="194" t="n">
        <x:v>2550</x:v>
      </x:c>
      <x:c r="H26" s="172"/>
      <x:c r="I26" s="185" t="str">
        <x:f>IF(E26="","",E26*G26)</x:f>
      </x:c>
      <x:c r="J26" s="185" t="str">
        <x:f>IF(F26="","",F26*IF(H26="",0,H26))</x:f>
      </x:c>
      <x:c r="K26" s="185" t="str">
        <x:f>IF(I26="","",I26+J26)</x:f>
      </x:c>
      <x:c r="L26" s="17"/>
      <x:c r="M26"/>
    </x:row>
    <x:row r="27">
      <x:c r="A27" s="26" t="n">
        <x:v>18</x:v>
      </x:c>
      <x:c r="B27" s="26"/>
      <x:c r="C27" s="26" t="str">
        <x:v>PAP</x:v>
      </x:c>
      <x:c r="D27" s="26"/>
      <x:c r="E27" s="175"/>
      <x:c r="F27" s="170"/>
      <x:c r="G27" s="194" t="n">
        <x:v>2550</x:v>
      </x:c>
      <x:c r="H27" s="172"/>
      <x:c r="I27" s="185" t="str">
        <x:f>IF(E27="","",E27*G27)</x:f>
      </x:c>
      <x:c r="J27" s="185" t="str">
        <x:f>IF(F27="","",F27*IF(H27="",0,H27))</x:f>
      </x:c>
      <x:c r="K27" s="185" t="str">
        <x:f>IF(I27="","",I27+J27)</x:f>
      </x:c>
      <x:c r="L27" s="17"/>
      <x:c r="M27"/>
    </x:row>
    <x:row r="28">
      <x:c r="A28" s="26" t="n">
        <x:v>19</x:v>
      </x:c>
      <x:c r="B28" s="26"/>
      <x:c r="C28" s="26" t="str">
        <x:v>PAP</x:v>
      </x:c>
      <x:c r="D28" s="26"/>
      <x:c r="E28" s="175"/>
      <x:c r="F28" s="170"/>
      <x:c r="G28" s="194" t="n">
        <x:v>2550</x:v>
      </x:c>
      <x:c r="H28" s="172"/>
      <x:c r="I28" s="185" t="str">
        <x:f>IF(E28="","",E28*G28)</x:f>
      </x:c>
      <x:c r="J28" s="185" t="str">
        <x:f>IF(F28="","",F28*IF(H28="",0,H28))</x:f>
      </x:c>
      <x:c r="K28" s="185" t="str">
        <x:f>IF(I28="","",I28+J28)</x:f>
      </x:c>
      <x:c r="L28" s="17"/>
      <x:c r="M28"/>
    </x:row>
    <x:row r="29">
      <x:c r="A29" s="26" t="n">
        <x:v>20</x:v>
      </x:c>
      <x:c r="B29" s="26"/>
      <x:c r="C29" s="26" t="str">
        <x:v>PAP</x:v>
      </x:c>
      <x:c r="D29" s="26"/>
      <x:c r="E29" s="175"/>
      <x:c r="F29" s="170"/>
      <x:c r="G29" s="194" t="n">
        <x:v>2550</x:v>
      </x:c>
      <x:c r="H29" s="172"/>
      <x:c r="I29" s="185" t="str">
        <x:f>IF(E29="","",E29*G29)</x:f>
      </x:c>
      <x:c r="J29" s="185" t="str">
        <x:f>IF(F29="","",F29*IF(H29="",0,H29))</x:f>
      </x:c>
      <x:c r="K29" s="185" t="str">
        <x:f>IF(I29="","",I29+J29)</x:f>
      </x:c>
      <x:c r="L29" s="17"/>
      <x:c r="M29"/>
    </x:row>
    <x:row r="30">
      <x:c r="A30" s="26" t="n">
        <x:v>21</x:v>
      </x:c>
      <x:c r="B30" s="26"/>
      <x:c r="C30" s="26" t="str">
        <x:v>PAP</x:v>
      </x:c>
      <x:c r="D30" s="26"/>
      <x:c r="E30" s="175"/>
      <x:c r="F30" s="170"/>
      <x:c r="G30" s="194" t="n">
        <x:v>2550</x:v>
      </x:c>
      <x:c r="H30" s="172"/>
      <x:c r="I30" s="185" t="str">
        <x:f>IF(E30="","",E30*G30)</x:f>
      </x:c>
      <x:c r="J30" s="185" t="str">
        <x:f>IF(F30="","",F30*IF(H30="",0,H30))</x:f>
      </x:c>
      <x:c r="K30" s="185" t="str">
        <x:f>IF(I30="","",I30+J30)</x:f>
      </x:c>
      <x:c r="L30" s="17"/>
      <x:c r="M30"/>
    </x:row>
    <x:row r="31">
      <x:c r="A31" s="26" t="n">
        <x:v>22</x:v>
      </x:c>
      <x:c r="B31" s="26"/>
      <x:c r="C31" s="26" t="str">
        <x:v>PAP</x:v>
      </x:c>
      <x:c r="D31" s="26"/>
      <x:c r="E31" s="175"/>
      <x:c r="F31" s="170"/>
      <x:c r="G31" s="194" t="n">
        <x:v>2550</x:v>
      </x:c>
      <x:c r="H31" s="172"/>
      <x:c r="I31" s="185" t="str">
        <x:f>IF(E31="","",E31*G31)</x:f>
      </x:c>
      <x:c r="J31" s="185" t="str">
        <x:f>IF(F31="","",F31*IF(H31="",0,H31))</x:f>
      </x:c>
      <x:c r="K31" s="185" t="str">
        <x:f>IF(I31="","",I31+J31)</x:f>
      </x:c>
      <x:c r="L31" s="17"/>
      <x:c r="M31"/>
    </x:row>
    <x:row r="32">
      <x:c r="A32" s="26" t="n">
        <x:v>23</x:v>
      </x:c>
      <x:c r="B32" s="26"/>
      <x:c r="C32" s="26" t="str">
        <x:v>PAP</x:v>
      </x:c>
      <x:c r="D32" s="26"/>
      <x:c r="E32" s="175"/>
      <x:c r="F32" s="170"/>
      <x:c r="G32" s="194" t="n">
        <x:v>2550</x:v>
      </x:c>
      <x:c r="H32" s="172"/>
      <x:c r="I32" s="185" t="str">
        <x:f>IF(E32="","",E32*G32)</x:f>
      </x:c>
      <x:c r="J32" s="185" t="str">
        <x:f>IF(F32="","",F32*IF(H32="",0,H32))</x:f>
      </x:c>
      <x:c r="K32" s="185" t="str">
        <x:f>IF(I32="","",I32+J32)</x:f>
      </x:c>
      <x:c r="L32" s="17"/>
      <x:c r="M32"/>
    </x:row>
    <x:row r="33">
      <x:c r="A33" s="26" t="n">
        <x:v>24</x:v>
      </x:c>
      <x:c r="B33" s="26"/>
      <x:c r="C33" s="26" t="str">
        <x:v>PAP</x:v>
      </x:c>
      <x:c r="D33" s="26"/>
      <x:c r="E33" s="175"/>
      <x:c r="F33" s="170"/>
      <x:c r="G33" s="194" t="n">
        <x:v>2550</x:v>
      </x:c>
      <x:c r="H33" s="172"/>
      <x:c r="I33" s="185" t="str">
        <x:f>IF(E33="","",E33*G33)</x:f>
      </x:c>
      <x:c r="J33" s="185" t="str">
        <x:f>IF(F33="","",F33*IF(H33="",0,H33))</x:f>
      </x:c>
      <x:c r="K33" s="185" t="str">
        <x:f>IF(I33="","",I33+J33)</x:f>
      </x:c>
      <x:c r="L33" s="17"/>
      <x:c r="M33"/>
    </x:row>
    <x:row r="34">
      <x:c r="A34" s="26" t="n">
        <x:v>25</x:v>
      </x:c>
      <x:c r="B34" s="26"/>
      <x:c r="C34" s="26" t="str">
        <x:v>PAP</x:v>
      </x:c>
      <x:c r="D34" s="26"/>
      <x:c r="E34" s="175"/>
      <x:c r="F34" s="170"/>
      <x:c r="G34" s="194" t="n">
        <x:v>2550</x:v>
      </x:c>
      <x:c r="H34" s="172"/>
      <x:c r="I34" s="185" t="str">
        <x:f>IF(E34="","",E34*G34)</x:f>
      </x:c>
      <x:c r="J34" s="185" t="str">
        <x:f>IF(F34="","",F34*IF(H34="",0,H34))</x:f>
      </x:c>
      <x:c r="K34" s="185" t="str">
        <x:f>IF(I34="","",I34+J34)</x:f>
      </x:c>
      <x:c r="L34" s="17"/>
      <x:c r="M34"/>
    </x:row>
    <x:row r="35">
      <x:c r="A35" s="26" t="n">
        <x:v>26</x:v>
      </x:c>
      <x:c r="B35" s="26"/>
      <x:c r="C35" s="26" t="str">
        <x:v>PAP</x:v>
      </x:c>
      <x:c r="D35" s="26"/>
      <x:c r="E35" s="175"/>
      <x:c r="F35" s="170"/>
      <x:c r="G35" s="194" t="n">
        <x:v>2550</x:v>
      </x:c>
      <x:c r="H35" s="172"/>
      <x:c r="I35" s="185" t="str">
        <x:f>IF(E35="","",E35*G35)</x:f>
      </x:c>
      <x:c r="J35" s="185" t="str">
        <x:f>IF(F35="","",F35*IF(H35="",0,H35))</x:f>
      </x:c>
      <x:c r="K35" s="185" t="str">
        <x:f>IF(I35="","",I35+J35)</x:f>
      </x:c>
      <x:c r="L35" s="17"/>
      <x:c r="M35"/>
    </x:row>
    <x:row r="36">
      <x:c r="A36" s="26" t="n">
        <x:v>27</x:v>
      </x:c>
      <x:c r="B36" s="26"/>
      <x:c r="C36" s="26" t="str">
        <x:v>PAP</x:v>
      </x:c>
      <x:c r="D36" s="26"/>
      <x:c r="E36" s="175"/>
      <x:c r="F36" s="170"/>
      <x:c r="G36" s="194" t="n">
        <x:v>2550</x:v>
      </x:c>
      <x:c r="H36" s="172"/>
      <x:c r="I36" s="185" t="str">
        <x:f>IF(E36="","",E36*G36)</x:f>
      </x:c>
      <x:c r="J36" s="185" t="str">
        <x:f>IF(F36="","",F36*IF(H36="",0,H36))</x:f>
      </x:c>
      <x:c r="K36" s="185" t="str">
        <x:f>IF(I36="","",I36+J36)</x:f>
      </x:c>
      <x:c r="L36" s="17"/>
      <x:c r="M36"/>
    </x:row>
    <x:row r="37">
      <x:c r="A37" s="26" t="n">
        <x:v>28</x:v>
      </x:c>
      <x:c r="B37" s="26"/>
      <x:c r="C37" s="26" t="str">
        <x:v>PAP</x:v>
      </x:c>
      <x:c r="D37" s="26"/>
      <x:c r="E37" s="175"/>
      <x:c r="F37" s="170"/>
      <x:c r="G37" s="194" t="n">
        <x:v>2550</x:v>
      </x:c>
      <x:c r="H37" s="172"/>
      <x:c r="I37" s="185" t="str">
        <x:f>IF(E37="","",E37*G37)</x:f>
      </x:c>
      <x:c r="J37" s="185" t="str">
        <x:f>IF(F37="","",F37*IF(H37="",0,H37))</x:f>
      </x:c>
      <x:c r="K37" s="185" t="str">
        <x:f>IF(I37="","",I37+J37)</x:f>
      </x:c>
      <x:c r="L37" s="17"/>
      <x:c r="M37"/>
    </x:row>
    <x:row r="38">
      <x:c r="A38" s="26" t="n">
        <x:v>29</x:v>
      </x:c>
      <x:c r="B38" s="26"/>
      <x:c r="C38" s="26" t="str">
        <x:v>PAP</x:v>
      </x:c>
      <x:c r="D38" s="26"/>
      <x:c r="E38" s="175"/>
      <x:c r="F38" s="170"/>
      <x:c r="G38" s="194" t="n">
        <x:v>2550</x:v>
      </x:c>
      <x:c r="H38" s="172"/>
      <x:c r="I38" s="185" t="str">
        <x:f>IF(E38="","",E38*G38)</x:f>
      </x:c>
      <x:c r="J38" s="185" t="str">
        <x:f>IF(F38="","",F38*IF(H38="",0,H38))</x:f>
      </x:c>
      <x:c r="K38" s="185" t="str">
        <x:f>IF(I38="","",I38+J38)</x:f>
      </x:c>
      <x:c r="L38" s="17"/>
      <x:c r="M38"/>
    </x:row>
    <x:row r="39">
      <x:c r="A39" s="26" t="n">
        <x:v>30</x:v>
      </x:c>
      <x:c r="B39" s="26"/>
      <x:c r="C39" s="26" t="str">
        <x:v>PAP</x:v>
      </x:c>
      <x:c r="D39" s="26"/>
      <x:c r="E39" s="175"/>
      <x:c r="F39" s="170"/>
      <x:c r="G39" s="194" t="n">
        <x:v>2550</x:v>
      </x:c>
      <x:c r="H39" s="172"/>
      <x:c r="I39" s="185" t="str">
        <x:f>IF(E39="","",E39*G39)</x:f>
      </x:c>
      <x:c r="J39" s="185" t="str">
        <x:f>IF(F39="","",F39*IF(H39="",0,H39))</x:f>
      </x:c>
      <x:c r="K39" s="185" t="str">
        <x:f>IF(I39="","",I39+J39)</x:f>
      </x:c>
      <x:c r="L39" s="17"/>
      <x:c r="M39"/>
    </x:row>
    <x:row r="40">
      <x:c r="A40" s="26"/>
      <x:c r="B40" s="26"/>
      <x:c r="C40" s="26"/>
      <x:c r="D40" s="26"/>
      <x:c r="E40" s="100"/>
      <x:c r="F40" s="100"/>
      <x:c r="G40" s="17"/>
      <x:c r="H40" s="17"/>
      <x:c r="I40" s="38"/>
      <x:c r="J40" s="38"/>
      <x:c r="K40" s="38"/>
      <x:c r="L40" s="17"/>
      <x:c r="M40"/>
    </x:row>
    <x:row r="41">
      <x:c r="A41" s="186" t="str">
        <x:v>TOTAL ROUTE PRICING</x:v>
      </x:c>
      <x:c r="B41" s="186"/>
      <x:c r="C41" s="186"/>
      <x:c r="D41" s="186"/>
      <x:c r="E41" s="187" t="n">
        <x:f>SUM(E10:E39)</x:f>
        <x:v>0</x:v>
      </x:c>
      <x:c r="F41" s="187"/>
      <x:c r="G41" s="186"/>
      <x:c r="H41" s="186"/>
      <x:c r="I41" s="190" t="n">
        <x:f>SUM(I10:I39)</x:f>
        <x:v>0</x:v>
      </x:c>
      <x:c r="J41" s="190" t="n">
        <x:f>SUM(J10:J39)</x:f>
        <x:v>0</x:v>
      </x:c>
      <x:c r="K41" s="190" t="n">
        <x:f>SUM(K10:K39)</x:f>
        <x:v>0</x:v>
      </x:c>
      <x:c r="L41" s="186"/>
      <x:c r="M41"/>
    </x:row>
    <x:row r="42">
      <x:c r="A42" s="23"/>
      <x:c r="B42" s="23"/>
      <x:c r="C42" s="23"/>
      <x:c r="D42" s="23"/>
      <x:c r="E42" s="23"/>
      <x:c r="F42" s="23"/>
      <x:c r="G42" s="23"/>
      <x:c r="H42" s="23"/>
      <x:c r="I42" s="23"/>
      <x:c r="J42" s="23"/>
      <x:c r="K42" s="23"/>
      <x:c r="L42" s="23"/>
      <x:c r="M42" s="23"/>
    </x:row>
    <x:row r="43">
      <x:c r="A43" s="23"/>
      <x:c r="B43" s="23"/>
      <x:c r="C43" s="23"/>
      <x:c r="D43" s="23"/>
      <x:c r="E43" s="23"/>
      <x:c r="F43" s="23"/>
      <x:c r="G43" s="23"/>
      <x:c r="H43" s="23"/>
      <x:c r="I43" s="23"/>
      <x:c r="J43" s="23"/>
      <x:c r="K43" s="23"/>
      <x:c r="L43" s="23"/>
      <x:c r="M43" s="23"/>
    </x:row>
    <x:row r="44">
      <x:c r="A44" s="23"/>
      <x:c r="B44" s="23"/>
      <x:c r="C44" s="23"/>
      <x:c r="D44" s="23"/>
      <x:c r="E44" s="23"/>
      <x:c r="F44" s="23"/>
      <x:c r="G44" s="23"/>
      <x:c r="H44" s="23"/>
      <x:c r="I44" s="23"/>
      <x:c r="J44" s="23"/>
      <x:c r="K44" s="23"/>
      <x:c r="L44" s="23"/>
      <x:c r="M44" s="23"/>
    </x:row>
    <x:row r="45">
      <x:c r="A45" s="23"/>
      <x:c r="B45" s="23"/>
      <x:c r="C45" s="23"/>
      <x:c r="D45" s="23"/>
      <x:c r="E45" s="23"/>
      <x:c r="F45" s="23"/>
      <x:c r="G45" s="23"/>
      <x:c r="H45" s="23"/>
      <x:c r="I45" s="23"/>
      <x:c r="J45" s="23"/>
      <x:c r="K45" s="23"/>
      <x:c r="L45" s="23"/>
      <x:c r="M45" s="23"/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52" hidden="0" customWidth="1"/>
    <x:col min="3" max="3" width="18" hidden="0" customWidth="1"/>
  </x:cols>
  <x:sheetData>
    <x:row r="1">
      <x:c r="A1" s="23"/>
      <x:c r="B1" s="23"/>
      <x:c r="C1" s="23"/>
    </x:row>
    <x:row r="2">
      <x:c r="A2" s="1" t="str">
        <x:v>Fixed Costs</x:v>
      </x:c>
      <x:c r="B2" s="23"/>
      <x:c r="C2" s="23"/>
    </x:row>
    <x:row r="3">
      <x:c r="A3" s="23" t="str">
        <x:v>Enter each fixed or annual amount once in the bright-green Amount column.</x:v>
      </x:c>
      <x:c r="B3" s="23"/>
      <x:c r="C3" s="23"/>
    </x:row>
    <x:row r="4">
      <x:c r="A4" s="23"/>
      <x:c r="B4" s="23"/>
      <x:c r="C4" s="23"/>
    </x:row>
    <x:row r="5">
      <x:c r="A5" s="23"/>
      <x:c r="B5" s="23"/>
      <x:c r="C5" s="23"/>
    </x:row>
    <x:row r="6">
      <x:c r="A6" s="23"/>
      <x:c r="B6" s="23"/>
      <x:c r="C6" s="23"/>
    </x:row>
    <x:row r="7">
      <x:c r="A7" s="7" t="str">
        <x:v>Cost category</x:v>
      </x:c>
      <x:c r="B7" s="7" t="str">
        <x:v>Description</x:v>
      </x:c>
      <x:c r="C7" s="7" t="str">
        <x:v>Amount</x:v>
      </x:c>
    </x:row>
    <x:row r="8">
      <x:c r="A8" s="26" t="str">
        <x:v>Mobilization</x:v>
      </x:c>
      <x:c r="B8" s="26" t="str">
        <x:v>Initial mobilization and mission setup</x:v>
      </x:c>
      <x:c r="C8" s="42"/>
    </x:row>
    <x:row r="9">
      <x:c r="A9" s="26" t="str">
        <x:v>Demobilization</x:v>
      </x:c>
      <x:c r="B9" s="26" t="str">
        <x:v>End-of-performance demobilization</x:v>
      </x:c>
      <x:c r="C9" s="42"/>
    </x:row>
    <x:row r="10">
      <x:c r="A10" s="26" t="str">
        <x:v>Insurance</x:v>
      </x:c>
      <x:c r="B10" s="26" t="str">
        <x:v>Mission-specific insurance or premium allocation</x:v>
      </x:c>
      <x:c r="C10" s="42"/>
    </x:row>
    <x:row r="11">
      <x:c r="A11" s="26" t="str">
        <x:v>Certifications</x:v>
      </x:c>
      <x:c r="B11" s="26" t="str">
        <x:v>Permits, approvals, or certification costs</x:v>
      </x:c>
      <x:c r="C11" s="42"/>
    </x:row>
    <x:row r="12">
      <x:c r="A12" s="26" t="str">
        <x:v>Dangerous goods</x:v>
      </x:c>
      <x:c r="B12" s="26" t="str">
        <x:v>Program-level weapons/ammunition compliance setup</x:v>
      </x:c>
      <x:c r="C12" s="42"/>
    </x:row>
    <x:row r="13">
      <x:c r="A13" s="26" t="str">
        <x:v>Operations center</x:v>
      </x:c>
      <x:c r="B13" s="26" t="str">
        <x:v>Dispatch, flight following, and operational support</x:v>
      </x:c>
      <x:c r="C13" s="42"/>
    </x:row>
    <x:row r="14">
      <x:c r="A14" s="26" t="str">
        <x:v>Project management</x:v>
      </x:c>
      <x:c r="B14" s="26" t="str">
        <x:v>Program management and reporting</x:v>
      </x:c>
      <x:c r="C14" s="42"/>
    </x:row>
    <x:row r="15">
      <x:c r="A15" s="26" t="str">
        <x:v>Contingency</x:v>
      </x:c>
      <x:c r="B15" s="26" t="str">
        <x:v>Contingency not included in route prices</x:v>
      </x:c>
      <x:c r="C15" s="42"/>
    </x:row>
    <x:row r="16">
      <x:c r="A16" s="26" t="str">
        <x:v>Other</x:v>
      </x:c>
      <x:c r="B16" s="26" t="str">
        <x:v>Other fixed or annual cost</x:v>
      </x:c>
      <x:c r="C16" s="42"/>
    </x:row>
    <x:row r="17">
      <x:c r="A17" s="26" t="str">
        <x:v>Other</x:v>
      </x:c>
      <x:c r="B17" s="26" t="str">
        <x:v>Other fixed or annual cost</x:v>
      </x:c>
      <x:c r="C17" s="42"/>
    </x:row>
    <x:row r="18">
      <x:c r="A18" s="26"/>
      <x:c r="B18" s="26"/>
      <x:c r="C18" s="43"/>
    </x:row>
    <x:row r="19">
      <x:c r="A19" s="49" t="str">
        <x:v>TOTAL FIXED COSTS</x:v>
      </x:c>
      <x:c r="B19" s="49"/>
      <x:c r="C19" s="50" t="n">
        <x:f>SUM(C8:C17)</x:f>
        <x:v>0</x:v>
      </x:c>
    </x:row>
    <x:row r="20">
      <x:c r="A20" s="23"/>
      <x:c r="B20" s="23"/>
      <x:c r="C20" s="23"/>
    </x:row>
    <x:row r="21">
      <x:c r="A21" s="23"/>
      <x:c r="B21" s="23"/>
      <x:c r="C21" s="23"/>
    </x:row>
    <x:row r="22">
      <x:c r="A22" s="23"/>
      <x:c r="B22" s="23"/>
      <x:c r="C22" s="23"/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>
      <x:pane ySplit="6" topLeftCell="A7" activePane="bottomLeft" state="frozen"/>
    </x:sheetView>
  </x:sheetViews>
  <x:sheetFormatPr defaultRowHeight="15"/>
  <x:cols>
    <x:col min="1" max="1" width="7" hidden="0" customWidth="1"/>
    <x:col min="2" max="2" width="24" hidden="0" customWidth="1"/>
    <x:col min="3" max="3" width="55" hidden="0" customWidth="1"/>
    <x:col min="4" max="4" width="30" hidden="0" customWidth="1"/>
    <x:col min="5" max="5" width="30" hidden="0" customWidth="1"/>
  </x:cols>
  <x:sheetData>
    <x:row r="1">
      <x:c r="A1" s="23"/>
      <x:c r="B1" s="23"/>
      <x:c r="C1" s="23"/>
      <x:c r="D1" s="23"/>
      <x:c r="E1" s="23"/>
    </x:row>
    <x:row r="2">
      <x:c r="A2" s="1" t="str">
        <x:v>Mission Requirements and Vendor Confirmation</x:v>
      </x:c>
      <x:c r="B2" s="23"/>
      <x:c r="C2" s="23"/>
      <x:c r="D2" s="23"/>
      <x:c r="E2" s="23"/>
    </x:row>
    <x:row r="3">
      <x:c r="A3" s="23" t="str">
        <x:v>Complete the two bright-green vendor response columns and attach supporting documents when applicable.</x:v>
      </x:c>
      <x:c r="B3" s="23"/>
      <x:c r="C3" s="23"/>
      <x:c r="D3" s="23"/>
      <x:c r="E3" s="23"/>
    </x:row>
    <x:row r="4">
      <x:c r="A4" s="23"/>
      <x:c r="B4" s="23"/>
      <x:c r="C4" s="23"/>
      <x:c r="D4" s="23"/>
      <x:c r="E4" s="23"/>
    </x:row>
    <x:row r="5">
      <x:c r="A5" s="23"/>
      <x:c r="B5" s="23"/>
      <x:c r="C5" s="23"/>
      <x:c r="D5" s="23"/>
      <x:c r="E5" s="23"/>
    </x:row>
    <x:row r="6">
      <x:c r="A6" s="7" t="str">
        <x:v>No.</x:v>
      </x:c>
      <x:c r="B6" s="7" t="str">
        <x:v>Requirement</x:v>
      </x:c>
      <x:c r="C6" s="7" t="str">
        <x:v>Current mission information</x:v>
      </x:c>
      <x:c r="D6" s="7" t="str">
        <x:v>Vendor response</x:v>
      </x:c>
      <x:c r="E6" s="7" t="str">
        <x:v>Supporting document / notes</x:v>
      </x:c>
    </x:row>
    <x:row r="7">
      <x:c r="A7" s="54" t="n">
        <x:v>1</x:v>
      </x:c>
      <x:c r="B7" s="54" t="str">
        <x:v>Mission start</x:v>
      </x:c>
      <x:c r="C7" s="54" t="str">
        <x:v>Annual rotations are anticipated to begin in April 2027.</x:v>
      </x:c>
      <x:c r="D7" s="55"/>
      <x:c r="E7" s="55"/>
    </x:row>
    <x:row r="8">
      <x:c r="A8" s="54" t="n">
        <x:v>2</x:v>
      </x:c>
      <x:c r="B8" s="54" t="str">
        <x:v>Passenger volume</x:v>
      </x:c>
      <x:c r="C8" s="54" t="str">
        <x:v>Approximately 4,500 peacekeepers annually; passengers per individual flight are not yet confirmed.</x:v>
      </x:c>
      <x:c r="D8" s="55"/>
      <x:c r="E8" s="55"/>
    </x:row>
    <x:row r="9">
      <x:c r="A9" s="54" t="n">
        <x:v>3</x:v>
      </x:c>
      <x:c r="B9" s="54" t="str">
        <x:v>Origin airport</x:v>
      </x:c>
      <x:c r="C9" s="54" t="str">
        <x:v>Port-au-Prince International Airport (PAP), Haiti.</x:v>
      </x:c>
      <x:c r="D9" s="55"/>
      <x:c r="E9" s="55"/>
    </x:row>
    <x:row r="10">
      <x:c r="A10" s="54" t="n">
        <x:v>4</x:v>
      </x:c>
      <x:c r="B10" s="54" t="str">
        <x:v>Destinations</x:v>
      </x:c>
      <x:c r="C10" s="54" t="str">
        <x:v>Multiple destinations in Central America, Central Africa, and Asia; exact routes are pending.</x:v>
      </x:c>
      <x:c r="D10" s="55"/>
      <x:c r="E10" s="55"/>
    </x:row>
    <x:row r="11">
      <x:c r="A11" s="54" t="n">
        <x:v>5</x:v>
      </x:c>
      <x:c r="B11" s="54" t="str">
        <x:v>Baggage</x:v>
      </x:c>
      <x:c r="C11" s="54" t="str">
        <x:v>Up to 100 kilograms of personal baggage per passenger.</x:v>
      </x:c>
      <x:c r="D11" s="55"/>
      <x:c r="E11" s="55"/>
    </x:row>
    <x:row r="12">
      <x:c r="A12" s="54" t="n">
        <x:v>6</x:v>
      </x:c>
      <x:c r="B12" s="54" t="str">
        <x:v>Weapons and ammunition</x:v>
      </x:c>
      <x:c r="C12" s="54" t="str">
        <x:v>Baggage may include authorized personal weapons and ammunition classified as UN Class 1.4S.</x:v>
      </x:c>
      <x:c r="D12" s="55"/>
      <x:c r="E12" s="55"/>
    </x:row>
    <x:row r="13">
      <x:c r="A13" s="54" t="n">
        <x:v>7</x:v>
      </x:c>
      <x:c r="B13" s="54" t="str">
        <x:v>Aircraft capability</x:v>
      </x:c>
      <x:c r="C13" s="54" t="str">
        <x:v>Aircraft must have sufficient passenger, baggage, payload, and range capability for the proposed route.</x:v>
      </x:c>
      <x:c r="D13" s="55"/>
      <x:c r="E13" s="55"/>
    </x:row>
    <x:row r="14">
      <x:c r="A14" s="54" t="n">
        <x:v>8</x:v>
      </x:c>
      <x:c r="B14" s="54" t="str">
        <x:v>Operating model</x:v>
      </x:c>
      <x:c r="C14" s="54" t="str">
        <x:v>State whether the offer is wet lease / ACMI, full charter, or another operating model and identify all exclusions.</x:v>
      </x:c>
      <x:c r="D14" s="55"/>
      <x:c r="E14" s="55"/>
    </x:row>
    <x:row r="15">
      <x:c r="A15" s="54" t="n">
        <x:v>9</x:v>
      </x:c>
      <x:c r="B15" s="54" t="str">
        <x:v>Safety and security</x:v>
      </x:c>
      <x:c r="C15" s="54" t="str">
        <x:v>Compliance with applicable UN safety and security requirements.</x:v>
      </x:c>
      <x:c r="D15" s="55"/>
      <x:c r="E15" s="55"/>
    </x:row>
    <x:row r="16">
      <x:c r="A16" s="54" t="n">
        <x:v>10</x:v>
      </x:c>
      <x:c r="B16" s="54" t="str">
        <x:v>Aviation compliance</x:v>
      </x:c>
      <x:c r="C16" s="54" t="str">
        <x:v>Compliance with ICAO and applicable national civil aviation requirements.</x:v>
      </x:c>
      <x:c r="D16" s="55"/>
      <x:c r="E16" s="55"/>
    </x:row>
    <x:row r="17">
      <x:c r="A17" s="54" t="n">
        <x:v>11</x:v>
      </x:c>
      <x:c r="B17" s="54" t="str">
        <x:v>Air Operator Certificate</x:v>
      </x:c>
      <x:c r="C17" s="54" t="str">
        <x:v>Provide a current Air Operator Certificate, including Operations Specifications.</x:v>
      </x:c>
      <x:c r="D17" s="55"/>
      <x:c r="E17" s="55"/>
    </x:row>
    <x:row r="18">
      <x:c r="A18" s="54" t="n">
        <x:v>12</x:v>
      </x:c>
      <x:c r="B18" s="54" t="str">
        <x:v>UN registration</x:v>
      </x:c>
      <x:c r="C18" s="54" t="str">
        <x:v>Vendor must pursue UNGM Level 2 and UN Air Operator registration before contract award.</x:v>
      </x:c>
      <x:c r="D18" s="55"/>
      <x:c r="E18" s="55"/>
    </x:row>
    <x:row r="19">
      <x:c r="A19" s="54" t="n">
        <x:v>13</x:v>
      </x:c>
      <x:c r="B19" s="54" t="str">
        <x:v>Operational presence</x:v>
      </x:c>
      <x:c r="C19" s="54" t="str">
        <x:v>Identify operational presence or logistical capacity near Central America and/or Central Africa.</x:v>
      </x:c>
      <x:c r="D19" s="55"/>
      <x:c r="E19" s="55"/>
    </x:row>
    <x:row r="20">
      <x:c r="A20" s="54" t="n">
        <x:v>14</x:v>
      </x:c>
      <x:c r="B20" s="54" t="str">
        <x:v>Dangerous goods</x:v>
      </x:c>
      <x:c r="C20" s="54" t="str">
        <x:v>Confirm authority and procedures for transport and handling of UN Class 1.4S weapons and ammunition.</x:v>
      </x:c>
      <x:c r="D20" s="55"/>
      <x:c r="E20" s="55"/>
    </x:row>
    <x:row r="21">
      <x:c r="A21" s="54" t="n">
        <x:v>15</x:v>
      </x:c>
      <x:c r="B21" s="54" t="str">
        <x:v>Medical evacuation</x:v>
      </x:c>
      <x:c r="C21" s="54" t="str">
        <x:v>If offering AMET/medevac services, attach the relevant approvals and certificates.</x:v>
      </x:c>
      <x:c r="D21" s="55"/>
      <x:c r="E21" s="55"/>
    </x:row>
    <x:row r="22">
      <x:c r="A22" s="54" t="n">
        <x:v>16</x:v>
      </x:c>
      <x:c r="B22" s="54" t="str">
        <x:v>Pricing completeness</x:v>
      </x:c>
      <x:c r="C22" s="54" t="str">
        <x:v>Identify fuel, airport fees, handling, permits, positioning, crew, insurance, taxes, and exclusions.</x:v>
      </x:c>
      <x:c r="D22" s="55"/>
      <x:c r="E22" s="55"/>
    </x:row>
    <x:row r="23">
      <x:c r="A23" s="54" t="n">
        <x:v>17</x:v>
      </x:c>
      <x:c r="B23" s="54" t="str">
        <x:v>Quote validity</x:v>
      </x:c>
      <x:c r="C23" s="54" t="str">
        <x:v>State the period for which pricing and aircraft availability remain valid.</x:v>
      </x:c>
      <x:c r="D23" s="55"/>
      <x:c r="E23" s="55"/>
    </x:row>
    <x:row r="24">
      <x:c r="A24" s="54" t="n">
        <x:v>18</x:v>
      </x:c>
      <x:c r="B24" s="54" t="str">
        <x:v>Subcontractors</x:v>
      </x:c>
      <x:c r="C24" s="54" t="str">
        <x:v>Identify proposed operating carrier and any material subcontractors.</x:v>
      </x:c>
      <x:c r="D24" s="55"/>
      <x:c r="E24" s="55"/>
    </x:row>
    <x:row r="25">
      <x:c r="A25" s="23"/>
      <x:c r="B25" s="23"/>
      <x:c r="C25" s="23"/>
      <x:c r="D25" s="23"/>
      <x:c r="E25" s="23"/>
    </x:row>
    <x:row r="26">
      <x:c r="A26" s="23"/>
      <x:c r="B26" s="23"/>
      <x:c r="C26" s="23"/>
      <x:c r="D26" s="23"/>
      <x:c r="E26" s="23"/>
    </x:row>
  </x:sheetData>
  <x:pageMargins left="0.7" right="0.7" top="0.75" bottom="0.75" header="0.3" footer="0.3"/>
</x:worksheet>
</file>